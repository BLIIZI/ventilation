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читать" sheetId="1" state="visible" r:id="rId3"/>
    <sheet name="1 Исходные" sheetId="2" state="visible" r:id="rId4"/>
    <sheet name="2 Выделения" sheetId="3" state="visible" r:id="rId5"/>
    <sheet name="3 СП 60" sheetId="4" state="visible" r:id="rId6"/>
    <sheet name="4 Заслонка" sheetId="5" state="visible" r:id="rId7"/>
    <sheet name="5 Потери" sheetId="6" state="visible" r:id="rId8"/>
    <sheet name="6 Вентилятор" sheetId="7" state="visible" r:id="rId9"/>
    <sheet name="7 Тепло" sheetId="8" state="visible" r:id="rId10"/>
    <sheet name="8 Сверка" sheetId="9" state="visible" r:id="rId11"/>
    <sheet name="9 Результаты смены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Расход поста — решение сети в ядре (метод Ньютона) при углах заслонок пусконаладки. Проверка правильности — баланс давлений на листе 6.</t>
        </r>
      </text>
    </comment>
    <comment ref="G15" authorId="0">
      <text>
        <r>
          <rPr>
            <sz val="10"/>
            <rFont val="Arial"/>
            <family val="2"/>
          </rPr>
          <t xml:space="preserve">Расход поста — решение сети в ядре (метод Ньютона) при углах заслонок пусконаладки. Проверка правильности — баланс давлений на листе 6.</t>
        </r>
      </text>
    </comment>
    <comment ref="G24" authorId="0">
      <text>
        <r>
          <rPr>
            <sz val="10"/>
            <rFont val="Arial"/>
            <family val="2"/>
          </rPr>
          <t xml:space="preserve">Расход поста — решение сети в ядре (метод Ньютона) при углах заслонок пусконаладки. Проверка правильности — баланс давлений на листе 6.</t>
        </r>
      </text>
    </comment>
    <comment ref="J9" authorId="0">
      <text>
        <r>
          <rPr>
            <sz val="10"/>
            <rFont val="Arial"/>
            <family val="2"/>
          </rPr>
          <t xml:space="preserve">Угол заслонки после пусконаладки (балансировки) — посчитан в ядре (balance.ts).</t>
        </r>
      </text>
    </comment>
    <comment ref="J19" authorId="0">
      <text>
        <r>
          <rPr>
            <sz val="10"/>
            <rFont val="Arial"/>
            <family val="2"/>
          </rPr>
          <t xml:space="preserve">Угол заслонки после пусконаладки (балансировки) — посчитан в ядре (balance.ts).</t>
        </r>
      </text>
    </comment>
    <comment ref="J28" authorId="0">
      <text>
        <r>
          <rPr>
            <sz val="10"/>
            <rFont val="Arial"/>
            <family val="2"/>
          </rPr>
          <t xml:space="preserve">Угол заслонки после пусконаладки (балансировки) — посчитан в ядре (balance.ts).</t>
        </r>
      </text>
    </comment>
  </commentList>
</comments>
</file>

<file path=xl/sharedStrings.xml><?xml version="1.0" encoding="utf-8"?>
<sst xmlns="http://schemas.openxmlformats.org/spreadsheetml/2006/main" count="816" uniqueCount="554">
  <si>
    <t xml:space="preserve">Книга «Модель расчёт v2» — стационарная часть математической модели местной вытяжной вентиляции сварочного участка</t>
  </si>
  <si>
    <t xml:space="preserve">Версия 11.10.2026. Каждая цифра здесь считается формулой Excel — можно поменять синюю ячейку и увидеть, как меняется всё остальное.</t>
  </si>
  <si>
    <t xml:space="preserve">ЦВЕТА</t>
  </si>
  <si>
    <t xml:space="preserve">Синий шрифт на жёлтом — исходные данные (их можно менять). У каждого — источник в последней колонке.</t>
  </si>
  <si>
    <t xml:space="preserve">Чёрный шрифт — формула. Зелёный — формула-ссылка на ячейку другого листа.</t>
  </si>
  <si>
    <t xml:space="preserve">Оранжевая заливка — число, которое посчитало расчётное ядро (программа на TypeScript, папка vent-sim). Нужно только для сверки на листе «8 Сверка».</t>
  </si>
  <si>
    <t xml:space="preserve">СТАТУСЫ ИСТОЧНИКОВ</t>
  </si>
  <si>
    <t xml:space="preserve">[Н] — норматив РФ (ГОСТ, СП, СанПиН, методика из перечня Минприроды).  [С] — российский справочник или учебник.</t>
  </si>
  <si>
    <t xml:space="preserve">[Д] — допущение демонстрационного примера (заменяется паспортом оборудования реального объекта).  [А] — параметр, выбранный автором (проверена чувствительность).</t>
  </si>
  <si>
    <t xml:space="preserve">[П] — источник найден, но страницу/таблицу надо сверить по бумажной книге.  [М] — инженерная модель (приём расчёта, не норматив).</t>
  </si>
  <si>
    <t xml:space="preserve">ПОРЯДОК ЛИСТОВ = ПОРЯДОК РАСЧЁТА</t>
  </si>
  <si>
    <t xml:space="preserve">1 Исходные — все входные величины в одном месте.</t>
  </si>
  <si>
    <t xml:space="preserve">2 Выделения — сколько вредных веществ выделяет сварка: расход проволоки от тока → граммы в час каждого вещества → сколько ловит отсос, сколько уходит в цех.</t>
  </si>
  <si>
    <t xml:space="preserve">3 СП 60 — сколько воздуха надо подать в цех, чтобы концентрация не превысила ПДК (формула СП 60.13330.2020). Главное: местные отсосы тоже уносят воздух из цеха, их расход вычитается.</t>
  </si>
  <si>
    <t xml:space="preserve">4 Заслонка — характеристика дроссель-клапана: угол → коэффициент сопротивления ζ.</t>
  </si>
  <si>
    <t xml:space="preserve">5 Потери — потери давления на КАЖДОМ элементе сети (зонт, воздуховод, отводы, заслонка, тройники, переходы, фильтр, выход) при пусконаладочном режиме 3 × 1500 м³/ч.</t>
  </si>
  <si>
    <t xml:space="preserve">   Там же проверка: по закону сохранения энергии сумма потерь по пути от любого поста до выброса должна равняться давлению вентилятора.</t>
  </si>
  <si>
    <t xml:space="preserve">6 Вентилятор — давление по характеристике и законам подобия, мощность на валу, КПД двигателя и частотника, электрическая мощность.</t>
  </si>
  <si>
    <t xml:space="preserve">7 Тепло — сколько тепла уходит на нагрев приточного воздуха (весь удалённый воздух замещается подогретым наружным).</t>
  </si>
  <si>
    <t xml:space="preserve">8 Сверка — Excel против ядра: если разница &lt; 0,1 %, ячейка зелёная.</t>
  </si>
  <si>
    <t xml:space="preserve">9 Результаты смены — итоги динамического расчёта 8-часовой смены (в Excel их не повторить: нужен шаг по времени 1 с × 28 800 шагов, это делает ядро).</t>
  </si>
  <si>
    <t xml:space="preserve">ЧЕГО В EXCEL НЕТ И ПОЧЕМУ</t>
  </si>
  <si>
    <t xml:space="preserve">Решение сети (какой расход установится при данных углах заслонок) — это система нелинейных уравнений, её решает ядро методом Ньютона. Excel берёт готовые расходы постов и ПРОВЕРЯЕТ, что они действительно решение (баланс давлений по всем путям).</t>
  </si>
  <si>
    <t xml:space="preserve">Регуляторы (ПИ-регулятор заслонок, частотник, общеобменная по датчикам) работают во времени — только в ядре. Их результаты — лист 9.</t>
  </si>
  <si>
    <t xml:space="preserve">ЧТО ИСПРАВЛЕНО 11.10.2026 (честно)</t>
  </si>
  <si>
    <t xml:space="preserve">1. Общеобменная вентиляция считалась без учёта воздуха местных отсосов (L_wz в формуле СП 60). Ошибка в запас, но завышала общеобменную на 4500 м³/ч (3 поста): 12 601 → 8 101 м³/ч. Так же было и в дипломе.</t>
  </si>
  <si>
    <t xml:space="preserve">   Следствие: прежние цифры экономии тепла от общеобменной по потребности (−37…−56 %) были завышены. Пересчитано (лист 9).</t>
  </si>
  <si>
    <t xml:space="preserve">2. Боковой вход тройника: в формуле Идельчика есть поправка A (0,55…1 в зависимости от F_б/F_с и Q_б/Q_с). Было A = 1 — завышало потери бокового входа до 1,8 раза при F_б/F_с &gt; 0,35.</t>
  </si>
  <si>
    <t xml:space="preserve">3. Энергия вентилятора общеобменной: при регулировании по выделениям расход бывает больше расчётного; вентилятор теперь подбирается на максимальный расход (иначе мощность считалась при нереальном давлении).</t>
  </si>
  <si>
    <t xml:space="preserve">Исходные данные</t>
  </si>
  <si>
    <t xml:space="preserve">Все величины, от которых зависит расчёт. Меняйте только синие ячейки. Источник каждой — в колонке H.</t>
  </si>
  <si>
    <t xml:space="preserve">№</t>
  </si>
  <si>
    <t xml:space="preserve">Величина</t>
  </si>
  <si>
    <t xml:space="preserve">Обозн.</t>
  </si>
  <si>
    <t xml:space="preserve">Значение</t>
  </si>
  <si>
    <t xml:space="preserve">Ед.</t>
  </si>
  <si>
    <t xml:space="preserve">Формула (как в книге)</t>
  </si>
  <si>
    <t xml:space="preserve">Простыми словами — что это и зачем</t>
  </si>
  <si>
    <t xml:space="preserve">Источник / статус</t>
  </si>
  <si>
    <t xml:space="preserve">Воздух</t>
  </si>
  <si>
    <t xml:space="preserve">Плотность воздуха</t>
  </si>
  <si>
    <t xml:space="preserve">ρ</t>
  </si>
  <si>
    <t xml:space="preserve">кг/м³</t>
  </si>
  <si>
    <t xml:space="preserve">—</t>
  </si>
  <si>
    <t xml:space="preserve">Сколько весит кубометр воздуха. 1,2 — стандартные условия, при которых испытывают вентиляторы.</t>
  </si>
  <si>
    <t xml:space="preserve">ГОСТ 10921-2017, разд. 14 [Н]</t>
  </si>
  <si>
    <t xml:space="preserve">Кинематическая вязкость воздуха (20 °C)</t>
  </si>
  <si>
    <t xml:space="preserve">ν</t>
  </si>
  <si>
    <t xml:space="preserve">м²/с</t>
  </si>
  <si>
    <t xml:space="preserve">Насколько воздух «вязкий». Нужна для числа Рейнольдса (режим течения).</t>
  </si>
  <si>
    <t xml:space="preserve">Варгафтик Н.Б., 1972 [С][П]</t>
  </si>
  <si>
    <t xml:space="preserve">Теплоёмкость воздуха</t>
  </si>
  <si>
    <t xml:space="preserve">c</t>
  </si>
  <si>
    <t xml:space="preserve">кДж/(кг·°C)</t>
  </si>
  <si>
    <t xml:space="preserve">Сколько тепла надо, чтобы нагреть 1 кг воздуха на 1 °C.</t>
  </si>
  <si>
    <t xml:space="preserve">Воздуховоды</t>
  </si>
  <si>
    <t xml:space="preserve">Эквивалентная шероховатость стали</t>
  </si>
  <si>
    <t xml:space="preserve">kэ</t>
  </si>
  <si>
    <t xml:space="preserve">м</t>
  </si>
  <si>
    <t xml:space="preserve">Насколько шершавая стенка воздуховода — влияет на трение.</t>
  </si>
  <si>
    <t xml:space="preserve">Справочник проектировщика, ч. 3, кн. 2, 1992; Альтшуль, 1982 [С][П]</t>
  </si>
  <si>
    <t xml:space="preserve">Минимальная транспортная скорость</t>
  </si>
  <si>
    <t xml:space="preserve">w_мин</t>
  </si>
  <si>
    <t xml:space="preserve">м/с</t>
  </si>
  <si>
    <t xml:space="preserve">Ниже этой скорости сварочная пыль начинает оседать в воздуховоде.</t>
  </si>
  <si>
    <t xml:space="preserve">Боломатов В.Н., АВОК, 2021, № 3, табл. 4 (8–14 м/с) [С]</t>
  </si>
  <si>
    <t xml:space="preserve">Сварка</t>
  </si>
  <si>
    <t xml:space="preserve">Число постов</t>
  </si>
  <si>
    <t xml:space="preserve">n</t>
  </si>
  <si>
    <t xml:space="preserve">шт</t>
  </si>
  <si>
    <t xml:space="preserve">Сколько сварщиков работает одновременно (расчётный случай — все сразу).</t>
  </si>
  <si>
    <t xml:space="preserve">Демо-пример (диплом) [Д]</t>
  </si>
  <si>
    <t xml:space="preserve">Сварочный ток</t>
  </si>
  <si>
    <t xml:space="preserve">I</t>
  </si>
  <si>
    <t xml:space="preserve">А</t>
  </si>
  <si>
    <t xml:space="preserve">Ток полуавтомата. Чем больше ток, тем больше плавится проволоки и больше дыма.</t>
  </si>
  <si>
    <t xml:space="preserve">Режим для Ø1,2 мм [Д]</t>
  </si>
  <si>
    <t xml:space="preserve">Диаметр проволоки</t>
  </si>
  <si>
    <t xml:space="preserve">d</t>
  </si>
  <si>
    <t xml:space="preserve">мм</t>
  </si>
  <si>
    <t xml:space="preserve">Св-08Г2С Ø1,2 [Д]</t>
  </si>
  <si>
    <t xml:space="preserve">Вылет электрода</t>
  </si>
  <si>
    <t xml:space="preserve">l</t>
  </si>
  <si>
    <t xml:space="preserve">Длина проволоки от токоподвода до дуги (10–20 мм).</t>
  </si>
  <si>
    <t xml:space="preserve">Соколов и др., ВолгГТУ, 2016 [С]</t>
  </si>
  <si>
    <t xml:space="preserve">Расход местного отсоса на пост</t>
  </si>
  <si>
    <t xml:space="preserve">Q_тр</t>
  </si>
  <si>
    <t xml:space="preserve">м³/ч</t>
  </si>
  <si>
    <t xml:space="preserve">Минимум по ГОСТ для сварочного стола.</t>
  </si>
  <si>
    <t xml:space="preserve">ГОСТ 12.3.003-86, п. 2.11.1 [Н]</t>
  </si>
  <si>
    <t xml:space="preserve">Эффективность местного отсоса</t>
  </si>
  <si>
    <t xml:space="preserve">η</t>
  </si>
  <si>
    <t xml:space="preserve">Какую долю дыма ловит отсос. Остальное (20 %) уходит в цех.</t>
  </si>
  <si>
    <t xml:space="preserve">Методика 1997 (приказ Госкомэкологии № 158), разд. 2.1, прим. 1 [Н]</t>
  </si>
  <si>
    <t xml:space="preserve">Удельные выделения, г на 1 кг проволоки Св-08Г2С (сварка в CO₂)</t>
  </si>
  <si>
    <t xml:space="preserve">Сварочный аэрозоль (всего)</t>
  </si>
  <si>
    <t xml:space="preserve">g_аэр</t>
  </si>
  <si>
    <t xml:space="preserve">г/кг</t>
  </si>
  <si>
    <t xml:space="preserve">Сколько всего дыма (твёрдых частиц) на килограмм проволоки.</t>
  </si>
  <si>
    <t xml:space="preserve">Методика 1997, табл. 1 [Н]</t>
  </si>
  <si>
    <t xml:space="preserve">в т.ч. железа оксид</t>
  </si>
  <si>
    <t xml:space="preserve">g_Fe</t>
  </si>
  <si>
    <t xml:space="preserve">там же [Н]</t>
  </si>
  <si>
    <t xml:space="preserve">в т.ч. марганец и его соединения</t>
  </si>
  <si>
    <t xml:space="preserve">g_Mn</t>
  </si>
  <si>
    <t xml:space="preserve">Самое вредное в сварочном дыме — по нему считается вентиляция.</t>
  </si>
  <si>
    <t xml:space="preserve">там же [Н]; [П: в перечне методик Mn «в пересчёте на MnO₂» — сверить шапку табл. 1]</t>
  </si>
  <si>
    <t xml:space="preserve">в т.ч. пыль с SiO₂</t>
  </si>
  <si>
    <t xml:space="preserve">g_SiO₂</t>
  </si>
  <si>
    <t xml:space="preserve">ПДК (рабочая зона) и фон в приточном воздухе</t>
  </si>
  <si>
    <t xml:space="preserve">ПДК марганца (сварочный аэрозоль, Mn ≤ 20 %), среднесменная</t>
  </si>
  <si>
    <t xml:space="preserve">ПДК_Mn</t>
  </si>
  <si>
    <t xml:space="preserve">мг/м³</t>
  </si>
  <si>
    <t xml:space="preserve">Предельная концентрация в воздухе рабочей зоны. Берём среднесменную (строже максимально разовой 0,6) — в запас.</t>
  </si>
  <si>
    <t xml:space="preserve">СанПиН 1.2.3685-21, табл. 2.1 [Н] (сверено)</t>
  </si>
  <si>
    <t xml:space="preserve">Марганец в приточном (наружном) воздухе</t>
  </si>
  <si>
    <t xml:space="preserve">q_пр,Mn</t>
  </si>
  <si>
    <t xml:space="preserve">Сколько марганца уже есть в наружном воздухе. Берём ПДК атмосферы — верхняя оценка.</t>
  </si>
  <si>
    <t xml:space="preserve">СанПиН 1.2.3685-21, табл. 1.1, поз. 302 [Н]; СП 60, п. 5.11</t>
  </si>
  <si>
    <t xml:space="preserve">ПДК железа оксида</t>
  </si>
  <si>
    <t xml:space="preserve">ПДК_Fe</t>
  </si>
  <si>
    <t xml:space="preserve">СанПиН 1.2.3685-21, табл. 2.1 [П: сверить строку]</t>
  </si>
  <si>
    <t xml:space="preserve">Железа оксид в приточном воздухе</t>
  </si>
  <si>
    <t xml:space="preserve">q_пр,Fe</t>
  </si>
  <si>
    <t xml:space="preserve">СанПиН, табл. 1.1 (ПДК с.с. атм.) [П]</t>
  </si>
  <si>
    <t xml:space="preserve">ПДК пыли с SiO₂ 20–70 % (с.с.)</t>
  </si>
  <si>
    <t xml:space="preserve">ПДК_SiO₂</t>
  </si>
  <si>
    <t xml:space="preserve">СанПиН, табл. 2.1 [П]</t>
  </si>
  <si>
    <t xml:space="preserve">Климат (холодный период) и помещение</t>
  </si>
  <si>
    <t xml:space="preserve">Температура в цехе</t>
  </si>
  <si>
    <t xml:space="preserve">t_в</t>
  </si>
  <si>
    <t xml:space="preserve">°C</t>
  </si>
  <si>
    <t xml:space="preserve">Середина оптимума 17–19 °C для работ категории IIб.</t>
  </si>
  <si>
    <t xml:space="preserve">СанПиН 1.2.3685-21, разд. V [Н][П: № таблицы]</t>
  </si>
  <si>
    <t xml:space="preserve">Средняя температура отопительного периода (Москва)</t>
  </si>
  <si>
    <t xml:space="preserve">t_оп</t>
  </si>
  <si>
    <t xml:space="preserve">Средняя температура наружного воздуха за отопительный период.</t>
  </si>
  <si>
    <t xml:space="preserve">СП 131.13330.2025, табл. 3.1 [Н]</t>
  </si>
  <si>
    <t xml:space="preserve">Продолжительность отопительного периода</t>
  </si>
  <si>
    <t xml:space="preserve">z_оп</t>
  </si>
  <si>
    <t xml:space="preserve">сут</t>
  </si>
  <si>
    <t xml:space="preserve">Длительность смены</t>
  </si>
  <si>
    <t xml:space="preserve">t_см</t>
  </si>
  <si>
    <t xml:space="preserve">ч</t>
  </si>
  <si>
    <t xml:space="preserve">[Д]</t>
  </si>
  <si>
    <t xml:space="preserve">Объём цеха</t>
  </si>
  <si>
    <t xml:space="preserve">V</t>
  </si>
  <si>
    <t xml:space="preserve">м³</t>
  </si>
  <si>
    <t xml:space="preserve">48 × 24 × 14,4 м</t>
  </si>
  <si>
    <t xml:space="preserve">Нужен для динамики (как быстро растёт концентрация), на стационарный расчёт не влияет.</t>
  </si>
  <si>
    <t xml:space="preserve">Диплом [Д]</t>
  </si>
  <si>
    <t xml:space="preserve">Выделение вредных веществ при сварке</t>
  </si>
  <si>
    <t xml:space="preserve">Шаг 1: по току считаем, сколько проволоки плавится в час. Шаг 2: умножаем на удельные выделения из Методики. Шаг 3: делим — η ловит отсос, (1 − η) уходит в цех.</t>
  </si>
  <si>
    <t xml:space="preserve">Расход проволоки</t>
  </si>
  <si>
    <t xml:space="preserve">Коэффициент расплавления</t>
  </si>
  <si>
    <t xml:space="preserve">α_р</t>
  </si>
  <si>
    <t xml:space="preserve">г/(А·ч)</t>
  </si>
  <si>
    <t xml:space="preserve">α_р = 9,05 + 3,1·10⁻⁴·I·l/d²</t>
  </si>
  <si>
    <t xml:space="preserve">Сколько граммов проволоки плавит каждый ампер за час. Растёт с током и вылетом (проволока подогревается током).</t>
  </si>
  <si>
    <t xml:space="preserve">Соколов Г.Н. и др. Технология и материалы для сварки и наплавки. ВолгГТУ, 2016, ф. (3.22) [С][П]</t>
  </si>
  <si>
    <t xml:space="preserve">B</t>
  </si>
  <si>
    <t xml:space="preserve">кг/ч</t>
  </si>
  <si>
    <t xml:space="preserve">B = α_р·I / 1000</t>
  </si>
  <si>
    <t xml:space="preserve">Килограммы проволоки в час на одном посту.</t>
  </si>
  <si>
    <t xml:space="preserve">там же</t>
  </si>
  <si>
    <t xml:space="preserve">Выделение на одном посту (дуга горит)</t>
  </si>
  <si>
    <t xml:space="preserve">Аэрозоль</t>
  </si>
  <si>
    <t xml:space="preserve">G_аэр</t>
  </si>
  <si>
    <t xml:space="preserve">г/ч</t>
  </si>
  <si>
    <t xml:space="preserve">G = g·B</t>
  </si>
  <si>
    <t xml:space="preserve">Граммов дыма в час.</t>
  </si>
  <si>
    <t xml:space="preserve">Методика 1997, разд. 2.1, ф. (2.1) [Н]</t>
  </si>
  <si>
    <t xml:space="preserve">Марганец</t>
  </si>
  <si>
    <t xml:space="preserve">G_Mn</t>
  </si>
  <si>
    <t xml:space="preserve">Железа оксид</t>
  </si>
  <si>
    <t xml:space="preserve">G_Fe</t>
  </si>
  <si>
    <t xml:space="preserve">Пыль с SiO₂</t>
  </si>
  <si>
    <t xml:space="preserve">G_SiO₂</t>
  </si>
  <si>
    <t xml:space="preserve">Проверка: сумма компонентов = аэрозоль</t>
  </si>
  <si>
    <t xml:space="preserve">Σg_i − g_аэр</t>
  </si>
  <si>
    <t xml:space="preserve">Должно быть 0: в Методике аэрозоль = сумма твёрдых компонентов. Это проверка, что числа переписаны без ошибки.</t>
  </si>
  <si>
    <t xml:space="preserve">проверка</t>
  </si>
  <si>
    <t xml:space="preserve">Куда уходит марганец (все посты)</t>
  </si>
  <si>
    <t xml:space="preserve">Выделяется на всех постах</t>
  </si>
  <si>
    <t xml:space="preserve">ΣG_Mn</t>
  </si>
  <si>
    <t xml:space="preserve">мг/ч</t>
  </si>
  <si>
    <t xml:space="preserve">n·G_Mn</t>
  </si>
  <si>
    <t xml:space="preserve">Ловят местные отсосы</t>
  </si>
  <si>
    <t xml:space="preserve">η·ΣG</t>
  </si>
  <si>
    <t xml:space="preserve">Уходит через отсос → фильтр → выброс.</t>
  </si>
  <si>
    <t xml:space="preserve">Методика 1997, разд. 2.1 [Н]</t>
  </si>
  <si>
    <t xml:space="preserve">Поступает в воздух цеха</t>
  </si>
  <si>
    <t xml:space="preserve">m_по</t>
  </si>
  <si>
    <t xml:space="preserve">(1 − η)·ΣG</t>
  </si>
  <si>
    <t xml:space="preserve">Вот это и должна разбавить вентиляция — это m_по в формуле СП 60.</t>
  </si>
  <si>
    <t xml:space="preserve">СП 60.13330.2020 (обозначение m_po) [Н]</t>
  </si>
  <si>
    <t xml:space="preserve">Железа оксид в воздух цеха</t>
  </si>
  <si>
    <t xml:space="preserve">m_Fe</t>
  </si>
  <si>
    <t xml:space="preserve">(1 − η)·n·G_Fe</t>
  </si>
  <si>
    <t xml:space="preserve">SiO₂ в воздух цеха</t>
  </si>
  <si>
    <t xml:space="preserve">m_SiO₂</t>
  </si>
  <si>
    <t xml:space="preserve">(1 − η)·n·G_SiO₂</t>
  </si>
  <si>
    <t xml:space="preserve">Оседание аэрозоля (коэффициент 0,4 по Методике, разд. 2.3) в базовом расчёте НЕ учитывается — это запас. Вариант с оседанием посчитан в ядре (лист 9).</t>
  </si>
  <si>
    <t xml:space="preserve">Воздухообмен по СП 60.13330.2020 (ассимиляция вредных веществ)</t>
  </si>
  <si>
    <t xml:space="preserve">Формула СП 60 (та же — СНиП 2.04.05-91*, прил. 17): L = L_wz + (m_по − L_wz·(q_wz − q_пр)) / (q_l − q_пр). L — сколько всего воздуха надо удалить из цеха (= подать притоком). Сюда входят и местные отсосы L_wz, поэтому общеобменная = L − L_wz.</t>
  </si>
  <si>
    <t xml:space="preserve">Марганец (лимитирующее вещество)</t>
  </si>
  <si>
    <t xml:space="preserve">Воздух, удаляемый местными отсосами</t>
  </si>
  <si>
    <t xml:space="preserve">L_wz</t>
  </si>
  <si>
    <t xml:space="preserve">L_wz = n·Q_тр</t>
  </si>
  <si>
    <t xml:space="preserve">Отсосы уносят воздух из цеха вместе с остатком дыма — этот воздух тоже участвует в разбавлении.</t>
  </si>
  <si>
    <t xml:space="preserve">СП 60.13330.2020 [Н]</t>
  </si>
  <si>
    <t xml:space="preserve">Допустимая концентрация в рабочей зоне</t>
  </si>
  <si>
    <t xml:space="preserve">q_wz</t>
  </si>
  <si>
    <t xml:space="preserve">q_wz = ПДК</t>
  </si>
  <si>
    <t xml:space="preserve">СП 60, ГОСТ 12.1.005-88 [Н]</t>
  </si>
  <si>
    <t xml:space="preserve">Концентрация в приточном воздухе</t>
  </si>
  <si>
    <t xml:space="preserve">q_пр</t>
  </si>
  <si>
    <t xml:space="preserve">Концентрация в воздухе, удаляемом из верхней зоны</t>
  </si>
  <si>
    <t xml:space="preserve">q_l</t>
  </si>
  <si>
    <t xml:space="preserve">q_l = q_wz (допущение)</t>
  </si>
  <si>
    <t xml:space="preserve">Принято, что воздух перемешан полностью. На деле сварочный дым поднимается и наверху концентрация больше — значит реальный расход меньше, допущение идёт в запас.</t>
  </si>
  <si>
    <t xml:space="preserve">[Д] — в запас</t>
  </si>
  <si>
    <t xml:space="preserve">Весь воздухообмен (приток = вся вытяжка)</t>
  </si>
  <si>
    <t xml:space="preserve">L</t>
  </si>
  <si>
    <t xml:space="preserve">L = L_wz + (m_по − L_wz·(q_wz − q_пр))/(q_l − q_пр)</t>
  </si>
  <si>
    <t xml:space="preserve">Сколько воздуха надо удалить всего, чтобы марганца было не больше ПДК.</t>
  </si>
  <si>
    <t xml:space="preserve">Общеобменная вытяжка (сверх местных отсосов)</t>
  </si>
  <si>
    <t xml:space="preserve">L_оо</t>
  </si>
  <si>
    <t xml:space="preserve">L_оо = L − L_wz</t>
  </si>
  <si>
    <t xml:space="preserve">Столько должен удалять вентилятор общеобменной вентиляции.</t>
  </si>
  <si>
    <t xml:space="preserve">Проверка: при q_l = q_wz формула упрощается</t>
  </si>
  <si>
    <t xml:space="preserve">L = m_по/(q_wz − q_пр)</t>
  </si>
  <si>
    <t xml:space="preserve">Должно совпасть с L выше — значит формула введена верно.</t>
  </si>
  <si>
    <t xml:space="preserve">алгебра</t>
  </si>
  <si>
    <t xml:space="preserve">Проверка: концентрация при найденном L</t>
  </si>
  <si>
    <t xml:space="preserve">C</t>
  </si>
  <si>
    <t xml:space="preserve">C = q_пр + m_по/L</t>
  </si>
  <si>
    <t xml:space="preserve">Должно получиться ровно ПДК (0,2).</t>
  </si>
  <si>
    <t xml:space="preserve">баланс массы</t>
  </si>
  <si>
    <t xml:space="preserve">Как было в дипломе и в модели до 11.10.2026 (ОШИБКА)</t>
  </si>
  <si>
    <t xml:space="preserve">L_оо,стар</t>
  </si>
  <si>
    <t xml:space="preserve">L_оо = m_по/(ПДК − q_пр)</t>
  </si>
  <si>
    <t xml:space="preserve">Весь потребный воздух отдавали общеобменной и ещё добавляли местные отсосы сверху — воздух отсосов считался дважды.</t>
  </si>
  <si>
    <t xml:space="preserve">ошибка — в запас</t>
  </si>
  <si>
    <t xml:space="preserve">Перерасход из-за ошибки</t>
  </si>
  <si>
    <t xml:space="preserve">ΔL</t>
  </si>
  <si>
    <t xml:space="preserve">L_оо,стар − L_оо</t>
  </si>
  <si>
    <t xml:space="preserve">Ровно расход местных отсосов.</t>
  </si>
  <si>
    <t xml:space="preserve">Другие вещества — проверка, что лимитирует марганец</t>
  </si>
  <si>
    <t xml:space="preserve">Весь воздухообмен по железа оксиду</t>
  </si>
  <si>
    <t xml:space="preserve">L_Fe</t>
  </si>
  <si>
    <t xml:space="preserve">L = m/(ПДК − q_пр)</t>
  </si>
  <si>
    <t xml:space="preserve">Меньше, чем по марганцу — значит определяет марганец.</t>
  </si>
  <si>
    <t xml:space="preserve">СП 60 [Н]</t>
  </si>
  <si>
    <t xml:space="preserve">Весь воздухообмен по SiO₂</t>
  </si>
  <si>
    <t xml:space="preserve">L_SiO₂</t>
  </si>
  <si>
    <t xml:space="preserve">L = m/ПДК</t>
  </si>
  <si>
    <t xml:space="preserve">Расчётный (наибольший)</t>
  </si>
  <si>
    <t xml:space="preserve">L_расч</t>
  </si>
  <si>
    <t xml:space="preserve">max по веществам</t>
  </si>
  <si>
    <t xml:space="preserve">Если вещества однонаправленного действия — по СП 60 расходы СКЛАДЫВАЮТСЯ (Σ m_i/(ПДК_i − q_пр,i)). Mn, Fe₂O₃ и SiO₂ к одной группе не относятся.</t>
  </si>
  <si>
    <t xml:space="preserve">Что ещё требует СП 60 и как это учтено</t>
  </si>
  <si>
    <t xml:space="preserve">1) Расходы определяются отдельно для тёплого и холодного периодов — в модели считается холодный (по нему максимальные затраты тепла). 2) Теплопоступления от дуги на расход по вредным веществам не влияют (одинаковы во всех режимах) — не моделируются. 3) Рециркуляция не применяется: Mn — 2-й класс опасности. 4) Минимум наружного воздуха на человека (СП 60, прил. [П: номер]) — десятки м³/ч; у нас ≥ 1500 м³/ч на сварщика — выполняется с большим запасом. 5) Местные отсосы и общеобменная вытяжка компенсируются притоком того же расхода — поэтому тепло считается от L (лист 7).</t>
  </si>
  <si>
    <t xml:space="preserve">Характеристика дроссель-клапана (круглый воздуховод): угол → ζ</t>
  </si>
  <si>
    <t xml:space="preserve">0° — открыта, 90° — закрыта. Между точками таблицы ζ интерполируется по логарифму (ζ растёт почти экспоненциально): ln ζ = ln ζ₀ + (α − α₀)/(α₁ − α₀)·(ln ζ₁ − ln ζ₀). Источник: Идельчик И.Е., 1992 (дроссель-клапан в круглой трубе) [П: сверить значения]; 70–90° — [Д] утечка закрытой заслонки.</t>
  </si>
  <si>
    <t xml:space="preserve">α, °</t>
  </si>
  <si>
    <t xml:space="preserve">ζ</t>
  </si>
  <si>
    <t xml:space="preserve">ln ζ</t>
  </si>
  <si>
    <t xml:space="preserve">Комментарий</t>
  </si>
  <si>
    <t xml:space="preserve">[П] Идельчик</t>
  </si>
  <si>
    <t xml:space="preserve">[Д] закрыто (утечка)</t>
  </si>
  <si>
    <t xml:space="preserve">Потери давления на каждом элементе сети — режим пусконаладки: 3 поста по 1500 м³/ч</t>
  </si>
  <si>
    <t xml:space="preserve">Общая формула: Δp = ζ·p_д, p_д = ρw²/2 (динамическое давление), w = Q/F. Для воздуховода ζ = λ·l/d (трение), λ — по Альтшулю: λ = 0,11·(kэ/d + 68/Re)^0,25. Для тройников ζ отнесён к скорости в ОБЩЕМ (сборном) канале — поэтому для них w и p_д считаются по d_с и Q_с. Расходы постов (синие, колонка G в строках «зонт») — это решение сети из ядра при углах заслонок пусконаладки; Excel их не решает, а ПРОВЕРЯЕТ: сумма потерь по пути каждого поста должна равняться давлению вентилятора (лист 6). Расходы участков коллектора — сумма постов (закон сохранения массы).</t>
  </si>
  <si>
    <t xml:space="preserve">Участок</t>
  </si>
  <si>
    <t xml:space="preserve">Элемент</t>
  </si>
  <si>
    <t xml:space="preserve">Тип</t>
  </si>
  <si>
    <t xml:space="preserve">d (d₁), м</t>
  </si>
  <si>
    <t xml:space="preserve">l, м</t>
  </si>
  <si>
    <t xml:space="preserve">Q, м³/ч</t>
  </si>
  <si>
    <t xml:space="preserve">Q_с, м³/ч (общий канал)</t>
  </si>
  <si>
    <t xml:space="preserve">Q_б, м³/ч (боковой поток)</t>
  </si>
  <si>
    <t xml:space="preserve">Параметр 1</t>
  </si>
  <si>
    <t xml:space="preserve">Параметр 2</t>
  </si>
  <si>
    <t xml:space="preserve">d расч., м</t>
  </si>
  <si>
    <t xml:space="preserve">w, м/с</t>
  </si>
  <si>
    <t xml:space="preserve">Re</t>
  </si>
  <si>
    <t xml:space="preserve">λ</t>
  </si>
  <si>
    <t xml:space="preserve">p_д, Па</t>
  </si>
  <si>
    <t xml:space="preserve">Δp, Па (Excel)</t>
  </si>
  <si>
    <t xml:space="preserve">Δp, Па (ядро)</t>
  </si>
  <si>
    <t xml:space="preserve">Разница, Па</t>
  </si>
  <si>
    <t xml:space="preserve">Формула ζ / пояснение</t>
  </si>
  <si>
    <t xml:space="preserve">Источник</t>
  </si>
  <si>
    <t xml:space="preserve">post1</t>
  </si>
  <si>
    <t xml:space="preserve">hood1</t>
  </si>
  <si>
    <t xml:space="preserve">local</t>
  </si>
  <si>
    <t xml:space="preserve">Вход через конический зонт (коллектор): ζ = 0,2 (параметр 1). Без зонта (острая кромка) было бы 0,5.</t>
  </si>
  <si>
    <t xml:space="preserve">Идельчик, 1992, разд. 3 [С][П: по диаграмме]</t>
  </si>
  <si>
    <t xml:space="preserve">branch1</t>
  </si>
  <si>
    <t xml:space="preserve">duct</t>
  </si>
  <si>
    <t xml:space="preserve">Трение по длине: ζ = λ·l/d. λ: Re ≤ 2000 — 64/Re; Re ≥ 4000 — Альтшуль 0,11(kэ/d + 68/Re)^0,25; между — линейно (чтобы λ была непрерывной).</t>
  </si>
  <si>
    <t xml:space="preserve">Дарси–Вейсбах; Альтшуль А.Д., 1982 [С]</t>
  </si>
  <si>
    <t xml:space="preserve">bend90_1</t>
  </si>
  <si>
    <t xml:space="preserve">отвод 90°, R/D = 1,5. ζ = A₁·B₁; A₁ = 1,634831·10⁻⁷δ³ − 8,1581126·10⁻⁵δ² + 1,714184·10⁻²δ (A₁(90°) = 1,00); B₁ = 0,21/(R/D)^2,5 при R/D &lt; 1, 0,21/(R/D)^0,5 при R/D ≥ 1. Параметр 1 = δ, °; параметр 2 = R/D.</t>
  </si>
  <si>
    <t xml:space="preserve">Идельчик И.Е., 1992, разд. 6, диагр. 6-1 [С][П]</t>
  </si>
  <si>
    <t xml:space="preserve">bend45_1</t>
  </si>
  <si>
    <t xml:space="preserve">отвод 45°, R/D = 1,5. ζ = A₁·B₁; A₁ = 1,634831·10⁻⁷δ³ − 8,1581126·10⁻⁵δ² + 1,714184·10⁻²δ (A₁(90°) = 1,00); B₁ = 0,21/(R/D)^2,5 при R/D &lt; 1, 0,21/(R/D)^0,5 при R/D ≥ 1. Параметр 1 = δ, °; параметр 2 = R/D.</t>
  </si>
  <si>
    <t xml:space="preserve">damper1</t>
  </si>
  <si>
    <t xml:space="preserve">damper</t>
  </si>
  <si>
    <t xml:space="preserve">Дроссель-клапан: ζ(α) по таблице листа «4 Заслонка» с интерполяцией по ln ζ. Параметр 1 = угол α, °.</t>
  </si>
  <si>
    <t xml:space="preserve">Идельчик, 1992 [С][П]</t>
  </si>
  <si>
    <t xml:space="preserve">bend_end</t>
  </si>
  <si>
    <t xml:space="preserve">отвод 90°, R/D = 1 (в торец коллектора). ζ = A₁·B₁; A₁ = 1,634831·10⁻⁷δ³ − 8,1581126·10⁻⁵δ² + 1,714184·10⁻²δ (A₁(90°) = 1,00); B₁ = 0,21/(R/D)^2,5 при R/D &lt; 1, 0,21/(R/D)^0,5 при R/D ≥ 1. Параметр 1 = δ, °; параметр 2 = R/D.</t>
  </si>
  <si>
    <t xml:space="preserve">trans1</t>
  </si>
  <si>
    <t xml:space="preserve">diffuser</t>
  </si>
  <si>
    <t xml:space="preserve">Переход на больший диаметр (диффузор). n = (1 − F₁/F₂)² — внезапное расширение (Борда–Карно); при угле α ≤ 40°: ζ = 3,2·tg(α/2)^1,25·n, но не больше n. К скорости в узком сечении d₁. Параметр 1 = d₂, м; параметр 2 = α, °.</t>
  </si>
  <si>
    <t xml:space="preserve">Идельчик, 1992, разд. 5 [С][П]</t>
  </si>
  <si>
    <t xml:space="preserve">c1</t>
  </si>
  <si>
    <t xml:space="preserve">trans_c1</t>
  </si>
  <si>
    <t xml:space="preserve">teeP2</t>
  </si>
  <si>
    <t xml:space="preserve">teeStraight</t>
  </si>
  <si>
    <t xml:space="preserve">Тройник на слияние, проход. r = Q_б/Q_с (Q_б — боковой поток, колонка I). ζ = 1,55·r − r², к скорости в общем канале (d = d_с).</t>
  </si>
  <si>
    <t xml:space="preserve">Идельчик, 1992, разд. 7, диагр. 7-1 [С][П]</t>
  </si>
  <si>
    <t xml:space="preserve">post2</t>
  </si>
  <si>
    <t xml:space="preserve">hood2</t>
  </si>
  <si>
    <t xml:space="preserve">branch2</t>
  </si>
  <si>
    <t xml:space="preserve">bend90_2</t>
  </si>
  <si>
    <t xml:space="preserve">bend45_2</t>
  </si>
  <si>
    <t xml:space="preserve">damper2</t>
  </si>
  <si>
    <t xml:space="preserve">tee2</t>
  </si>
  <si>
    <t xml:space="preserve">teeSide</t>
  </si>
  <si>
    <t xml:space="preserve">Тройник на слияние, боковой вход. r = Q_б/Q_с. ζ = A·[1 + (r·F_с/F_б)² − 2(1 − r)²], к скорости в общем канале d_с (параметр 1). A: F_б/F_с ≤ 0,35 → 1; иначе max(0,9(1 − r); 0,55). Может быть &lt; 0 (эжекция) — это физика.</t>
  </si>
  <si>
    <t xml:space="preserve">Идельчик, 1992, разд. 7, диагр. 7-1 [С][П: сверить таблицу A]</t>
  </si>
  <si>
    <t xml:space="preserve">c2</t>
  </si>
  <si>
    <t xml:space="preserve">trans_c2</t>
  </si>
  <si>
    <t xml:space="preserve">teeP3</t>
  </si>
  <si>
    <t xml:space="preserve">post3</t>
  </si>
  <si>
    <t xml:space="preserve">hood3</t>
  </si>
  <si>
    <t xml:space="preserve">branch3</t>
  </si>
  <si>
    <t xml:space="preserve">bend90_3</t>
  </si>
  <si>
    <t xml:space="preserve">bend45_3</t>
  </si>
  <si>
    <t xml:space="preserve">damper3</t>
  </si>
  <si>
    <t xml:space="preserve">tee3</t>
  </si>
  <si>
    <t xml:space="preserve">c3</t>
  </si>
  <si>
    <t xml:space="preserve">bend_main</t>
  </si>
  <si>
    <t xml:space="preserve">отвод 90° к фильтру. ζ = A₁·B₁; A₁ = 1,634831·10⁻⁷δ³ − 8,1581126·10⁻⁵δ² + 1,714184·10⁻²δ (A₁(90°) = 1,00); B₁ = 0,21/(R/D)^2,5 при R/D &lt; 1, 0,21/(R/D)^0,5 при R/D ≥ 1. Параметр 1 = δ, °; параметр 2 = R/D.</t>
  </si>
  <si>
    <t xml:space="preserve">common</t>
  </si>
  <si>
    <t xml:space="preserve">filter</t>
  </si>
  <si>
    <t xml:space="preserve">Фильтр: Δp = Δp_ном·(Q/Q_ном)^m, m = 1 (закон Дарси для фильтровальной перегородки). Параметр 1 = Δp_ном, Па; параметр 2 = Q_ном, м³/ч. Чистый фильтр (k_загр = 1).</t>
  </si>
  <si>
    <t xml:space="preserve">Ужов В.Н., Мягков Б.И., 1970 [С]; Δp_ном — паспорт [Д]</t>
  </si>
  <si>
    <t xml:space="preserve">discharge</t>
  </si>
  <si>
    <t xml:space="preserve">bend_out</t>
  </si>
  <si>
    <t xml:space="preserve">отвод 90° на выбросе. ζ = A₁·B₁; A₁ = 1,634831·10⁻⁷δ³ − 8,1581126·10⁻⁵δ² + 1,714184·10⁻²δ (A₁(90°) = 1,00); B₁ = 0,21/(R/D)^2,5 при R/D &lt; 1, 0,21/(R/D)^0,5 при R/D ≥ 1. Параметр 1 = δ, °; параметр 2 = R/D.</t>
  </si>
  <si>
    <t xml:space="preserve">exit</t>
  </si>
  <si>
    <t xml:space="preserve">Выход в атмосферу: теряется вся скорость, ζ = 1 (параметр 1).</t>
  </si>
  <si>
    <t xml:space="preserve">Идельчик, 1992 [С]</t>
  </si>
  <si>
    <t xml:space="preserve">Суммы потерь по участкам и путям</t>
  </si>
  <si>
    <t xml:space="preserve">Участок / путь</t>
  </si>
  <si>
    <t xml:space="preserve">Σ Δp, Па (Excel)</t>
  </si>
  <si>
    <t xml:space="preserve">Σ Δp, Па (ядро)</t>
  </si>
  <si>
    <t xml:space="preserve">Разница</t>
  </si>
  <si>
    <t xml:space="preserve">Пояснение</t>
  </si>
  <si>
    <t xml:space="preserve">Путь post1 → вентилятор + общий тракт</t>
  </si>
  <si>
    <t xml:space="preserve">Полные потери от входа в зонт поста до выброса. По закону сохранения энергии = давлению вентилятора (сверка на листе 6). Если у разных постов суммы разные — расходы не являются решением сети.</t>
  </si>
  <si>
    <t xml:space="preserve">Путь post2 → вентилятор + общий тракт</t>
  </si>
  <si>
    <t xml:space="preserve">Путь post3 → вентилятор + общий тракт</t>
  </si>
  <si>
    <t xml:space="preserve">Наибольшее расхождение по элементу, Па:</t>
  </si>
  <si>
    <t xml:space="preserve">Наименьшая скорость в воздуховодах, м/с (норма ≥ 8):</t>
  </si>
  <si>
    <t xml:space="preserve">Вентилятор: давление, мощность, КПД привода</t>
  </si>
  <si>
    <t xml:space="preserve">Давление вентилятора при частоте n — по каталожной характеристике (при n₀) и законам подобия: Q ~ n, p ~ n². Мощность на валу N = Q·p/η. Электрическая мощность — с учётом КПД двигателя и частотника.</t>
  </si>
  <si>
    <t xml:space="preserve">Характеристика вентилятора при n₀ (демо [Д] — заменить каталогом)</t>
  </si>
  <si>
    <t xml:space="preserve">Q₀, м³/ч</t>
  </si>
  <si>
    <t xml:space="preserve">p₀, Па</t>
  </si>
  <si>
    <t xml:space="preserve">Частота каталожной характеристики</t>
  </si>
  <si>
    <t xml:space="preserve">n₀</t>
  </si>
  <si>
    <t xml:space="preserve">об/мин</t>
  </si>
  <si>
    <t xml:space="preserve">каталог [Д]</t>
  </si>
  <si>
    <t xml:space="preserve">Частота после пусконаладки</t>
  </si>
  <si>
    <t xml:space="preserve">Минимальная частота, при которой все посты получают 1500 м³/ч (подобрано ядром, balance.ts).</t>
  </si>
  <si>
    <t xml:space="preserve">ядро</t>
  </si>
  <si>
    <t xml:space="preserve">Общий расход</t>
  </si>
  <si>
    <t xml:space="preserve">Q</t>
  </si>
  <si>
    <t xml:space="preserve">Q = ΣQ_пост</t>
  </si>
  <si>
    <t xml:space="preserve">лист 5</t>
  </si>
  <si>
    <t xml:space="preserve">Отношение частот</t>
  </si>
  <si>
    <t xml:space="preserve">k</t>
  </si>
  <si>
    <t xml:space="preserve">k = n/n₀</t>
  </si>
  <si>
    <t xml:space="preserve">Расход, приведённый к n₀</t>
  </si>
  <si>
    <t xml:space="preserve">Q₀</t>
  </si>
  <si>
    <t xml:space="preserve">Q₀ = Q/k</t>
  </si>
  <si>
    <t xml:space="preserve">По закону подобия расход пропорционален частоте.</t>
  </si>
  <si>
    <t xml:space="preserve">Давление по характеристике при n₀</t>
  </si>
  <si>
    <t xml:space="preserve">p₀</t>
  </si>
  <si>
    <t xml:space="preserve">Па</t>
  </si>
  <si>
    <t xml:space="preserve">линейная интерполяция по таблице</t>
  </si>
  <si>
    <t xml:space="preserve">Давление вентилятора при n</t>
  </si>
  <si>
    <t xml:space="preserve">p</t>
  </si>
  <si>
    <t xml:space="preserve">p = p₀·k²</t>
  </si>
  <si>
    <t xml:space="preserve">Давление пропорционально квадрату частоты.</t>
  </si>
  <si>
    <t xml:space="preserve">Проверка баланса: давление вентилятора = потери по пути каждого поста</t>
  </si>
  <si>
    <t xml:space="preserve">Путь поста 1 − давление вентилятора</t>
  </si>
  <si>
    <t xml:space="preserve">Σ Δp − p</t>
  </si>
  <si>
    <t xml:space="preserve">Должно быть ≈ 0 (± 0,01 Па): расходы — действительно решение сети.</t>
  </si>
  <si>
    <t xml:space="preserve">закон сохранения энергии</t>
  </si>
  <si>
    <t xml:space="preserve">Путь поста 2 − давление вентилятора</t>
  </si>
  <si>
    <t xml:space="preserve">Путь поста 3 − давление вентилятора</t>
  </si>
  <si>
    <t xml:space="preserve">Мощность</t>
  </si>
  <si>
    <t xml:space="preserve">КПД вентилятора</t>
  </si>
  <si>
    <t xml:space="preserve">η_в</t>
  </si>
  <si>
    <t xml:space="preserve">Принят постоянным [Д] — уточнить по каталогу.</t>
  </si>
  <si>
    <t xml:space="preserve">Мощность на валу</t>
  </si>
  <si>
    <t xml:space="preserve">N</t>
  </si>
  <si>
    <t xml:space="preserve">Вт</t>
  </si>
  <si>
    <t xml:space="preserve">N = Q·p/η_в</t>
  </si>
  <si>
    <t xml:space="preserve">Калинушкин М.П., 1979 [С]</t>
  </si>
  <si>
    <t xml:space="preserve">Номинальная мощность двигателя</t>
  </si>
  <si>
    <t xml:space="preserve">P_н</t>
  </si>
  <si>
    <t xml:space="preserve">демо [Д]</t>
  </si>
  <si>
    <t xml:space="preserve">Номинальный КПД двигателя (IE3, 4 полюса, 2,2 кВт)</t>
  </si>
  <si>
    <t xml:space="preserve">η_н</t>
  </si>
  <si>
    <t xml:space="preserve">ГОСТ IEC 60034-30-1-2016, табл. 1 [Н]</t>
  </si>
  <si>
    <t xml:space="preserve">Загрузка двигателя</t>
  </si>
  <si>
    <t xml:space="preserve">β</t>
  </si>
  <si>
    <t xml:space="preserve">β = N/P_н</t>
  </si>
  <si>
    <t xml:space="preserve">Отношение постоянных потерь к переменным</t>
  </si>
  <si>
    <t xml:space="preserve">k_п</t>
  </si>
  <si>
    <t xml:space="preserve">Постоянные потери (сталь, трение) не зависят от нагрузки, переменные (медь) ~ β².</t>
  </si>
  <si>
    <t xml:space="preserve">Копылов И.П. Электрические машины [С][П]</t>
  </si>
  <si>
    <t xml:space="preserve">КПД двигателя при загрузке β</t>
  </si>
  <si>
    <t xml:space="preserve">η_дв</t>
  </si>
  <si>
    <t xml:space="preserve">η = β/(β + ΣP(β)), ΣP = ΣP_н·(k + β²)/(1 + k)</t>
  </si>
  <si>
    <t xml:space="preserve">При недогрузке КПД двигателя падает.</t>
  </si>
  <si>
    <t xml:space="preserve">Копылов [С]</t>
  </si>
  <si>
    <t xml:space="preserve">КПД частотника при загрузке β</t>
  </si>
  <si>
    <t xml:space="preserve">η_ПЧ</t>
  </si>
  <si>
    <t xml:space="preserve">интерполяция таблицы</t>
  </si>
  <si>
    <t xml:space="preserve">Российского числового норматива нет (метод — ГОСТ IEC 61800-9-2-2021); до паспорта ПЧ — типовые значения US DOE (зарубежный справочный).</t>
  </si>
  <si>
    <t xml:space="preserve">Таблица КПД ПЧ: β →</t>
  </si>
  <si>
    <t xml:space="preserve">Электрическая мощность из сети</t>
  </si>
  <si>
    <t xml:space="preserve">P_эл</t>
  </si>
  <si>
    <t xml:space="preserve">P_эл = N/(η_дв·η_ПЧ)</t>
  </si>
  <si>
    <t xml:space="preserve">Это то, что покажет счётчик.</t>
  </si>
  <si>
    <t xml:space="preserve">Тепло на нагрев приточного воздуха</t>
  </si>
  <si>
    <t xml:space="preserve">Весь воздух, удалённый из цеха (местные отсосы + общеобменная), замещается наружным, который надо нагреть до t_в. Q = ρ·c·L·(t_в − t_н).</t>
  </si>
  <si>
    <t xml:space="preserve">Разность температур</t>
  </si>
  <si>
    <t xml:space="preserve">Δt</t>
  </si>
  <si>
    <t xml:space="preserve">Δt = t_в − t_оп</t>
  </si>
  <si>
    <t xml:space="preserve">СанПиН, СП 131.13330.2025</t>
  </si>
  <si>
    <t xml:space="preserve">Без регулирования: всё работает всю смену на расчётном расходе</t>
  </si>
  <si>
    <t xml:space="preserve">Весь удаляемый воздух</t>
  </si>
  <si>
    <t xml:space="preserve">L = L_wz + L_оо</t>
  </si>
  <si>
    <t xml:space="preserve">Равно L по СП 60 (лист 3).</t>
  </si>
  <si>
    <t xml:space="preserve">лист 3</t>
  </si>
  <si>
    <t xml:space="preserve">Тепловая мощность</t>
  </si>
  <si>
    <t xml:space="preserve">Φ</t>
  </si>
  <si>
    <t xml:space="preserve">кВт</t>
  </si>
  <si>
    <t xml:space="preserve">Φ = ρ·c·L·Δt/3600</t>
  </si>
  <si>
    <t xml:space="preserve">Сколько киловатт тепла идёт на подогрев притока.</t>
  </si>
  <si>
    <t xml:space="preserve">Богословский В.Н. и др. Отопление и вентиляция, 1976 [С]</t>
  </si>
  <si>
    <t xml:space="preserve">Тепло за смену</t>
  </si>
  <si>
    <t xml:space="preserve">Q_см</t>
  </si>
  <si>
    <t xml:space="preserve">кВт·ч</t>
  </si>
  <si>
    <t xml:space="preserve">Q = Φ·t_см</t>
  </si>
  <si>
    <t xml:space="preserve">Сверка с ядром: режим «без регулирования» лист 9.</t>
  </si>
  <si>
    <t xml:space="preserve">Тепло за отопительный период (1 смена/сут)</t>
  </si>
  <si>
    <t xml:space="preserve">Q_оп</t>
  </si>
  <si>
    <t xml:space="preserve">МВт·ч</t>
  </si>
  <si>
    <t xml:space="preserve">Q_см·z_оп</t>
  </si>
  <si>
    <t xml:space="preserve">То же в гигакалориях</t>
  </si>
  <si>
    <t xml:space="preserve">Гкал</t>
  </si>
  <si>
    <t xml:space="preserve">1 Гкал = 1,163 МВт·ч</t>
  </si>
  <si>
    <t xml:space="preserve">В Гкал выставляют счёт за тепло.</t>
  </si>
  <si>
    <t xml:space="preserve">Сколько стоил бы «двойной учёт» воздуха отсосов (ошибка до 11.10.2026)</t>
  </si>
  <si>
    <t xml:space="preserve">Лишнее тепло за смену</t>
  </si>
  <si>
    <t xml:space="preserve">ΔQ</t>
  </si>
  <si>
    <t xml:space="preserve">Столько тепла «лишнего» закладывал старый расчёт.</t>
  </si>
  <si>
    <t xml:space="preserve">Сверка: Excel против расчётного ядра</t>
  </si>
  <si>
    <t xml:space="preserve">Ядро — программа vent-sim (TypeScript); значения выгружены export_engine.ts в engine.json. Зелёный — расхождение &lt; 0,1 %.</t>
  </si>
  <si>
    <t xml:space="preserve">Excel</t>
  </si>
  <si>
    <t xml:space="preserve">Ядро</t>
  </si>
  <si>
    <t xml:space="preserve">Относит. разница</t>
  </si>
  <si>
    <t xml:space="preserve">Итог</t>
  </si>
  <si>
    <t xml:space="preserve">Коэффициент расплавления α_р, г/(А·ч), 225 А</t>
  </si>
  <si>
    <t xml:space="preserve">Расход проволоки B, кг/ч, 225 А</t>
  </si>
  <si>
    <t xml:space="preserve">Весь воздухообмен L по СП 60, м³/ч (3 поста, 225 А)</t>
  </si>
  <si>
    <t xml:space="preserve">Общеобменная L_оо = L − L_wz, м³/ч</t>
  </si>
  <si>
    <t xml:space="preserve">Расход вентилятора, м³/ч</t>
  </si>
  <si>
    <t xml:space="preserve">Давление вентилятора, Па</t>
  </si>
  <si>
    <t xml:space="preserve">Мощность на валу, Вт</t>
  </si>
  <si>
    <t xml:space="preserve">КПД двигателя при загрузке</t>
  </si>
  <si>
    <t xml:space="preserve">Электрическая мощность, Вт</t>
  </si>
  <si>
    <t xml:space="preserve">Тепло за смену без регулирования, кВт·ч</t>
  </si>
  <si>
    <t xml:space="preserve">Тепло за смену в ядре — результат динамического расчёта (интеграл за 8 ч), округлён до 1 кВт·ч, поэтому разница до 0,1 %.</t>
  </si>
  <si>
    <t xml:space="preserve">Наибольшее расхождение потерь по элементу, Па</t>
  </si>
  <si>
    <t xml:space="preserve">допуск 0.001</t>
  </si>
  <si>
    <t xml:space="preserve">Баланс: путь поста 1 − давление вентилятора, Па</t>
  </si>
  <si>
    <t xml:space="preserve">допуск 0.01</t>
  </si>
  <si>
    <t xml:space="preserve">Баланс: путь поста 2 − давление вентилятора, Па</t>
  </si>
  <si>
    <t xml:space="preserve">Баланс: путь поста 3 − давление вентилятора, Па</t>
  </si>
  <si>
    <t xml:space="preserve">Проверка выделений: Σ компонентов − аэрозоль, г/кг</t>
  </si>
  <si>
    <t xml:space="preserve">допуск 1e-09</t>
  </si>
  <si>
    <t xml:space="preserve">Концентрация Mn при L по СП 60 минус ПДК, мг/м³</t>
  </si>
  <si>
    <t xml:space="preserve">Итоги динамического расчёта смены 8 ч (ядро, шаг 1 с) — версия 1.6 от 11.10.2026</t>
  </si>
  <si>
    <t xml:space="preserve">Эти числа получены программой: расписание сварки, регуляторы, приводы заслонок с ограниченной скоростью, частотник, решение сети на каждом шаге, нестационарная концентрация в цехе. В Excel повторить нельзя; проверяемые части (выделения, СП 60, потери, вентилятор, тепло) — на листах 2–7.</t>
  </si>
  <si>
    <t xml:space="preserve">А. 3 поста MAG 225 А, общеобменная постоянная 8 101 м³/ч (по СП 60)</t>
  </si>
  <si>
    <t xml:space="preserve">Режим местной вытяжки</t>
  </si>
  <si>
    <t xml:space="preserve">Вент. МВВ, кВт·ч</t>
  </si>
  <si>
    <t xml:space="preserve">Тепло, кВт·ч</t>
  </si>
  <si>
    <t xml:space="preserve">Ср. расход МВВ, м³/ч</t>
  </si>
  <si>
    <t xml:space="preserve">Расход &lt; 95 %</t>
  </si>
  <si>
    <t xml:space="preserve">&gt; 110 %</t>
  </si>
  <si>
    <t xml:space="preserve">Mn ср., мг/м³</t>
  </si>
  <si>
    <t xml:space="preserve">Mn макс., мг/м³</t>
  </si>
  <si>
    <t xml:space="preserve">Без регулирования</t>
  </si>
  <si>
    <t xml:space="preserve">0 %</t>
  </si>
  <si>
    <t xml:space="preserve">«Открыто/закрыто» + ПЧ (пром. стандарт)</t>
  </si>
  <si>
    <t xml:space="preserve">6,0 %</t>
  </si>
  <si>
    <t xml:space="preserve">39,1 %</t>
  </si>
  <si>
    <t xml:space="preserve">Предлагаемая (ПИ по ln ζ + сброс давления)</t>
  </si>
  <si>
    <t xml:space="preserve">5,9 %</t>
  </si>
  <si>
    <t xml:space="preserve">3,0 %</t>
  </si>
  <si>
    <t xml:space="preserve">Предлагаемая + ОВ по числу постов</t>
  </si>
  <si>
    <t xml:space="preserve">Б. 3 поста, ток меняется 175/225/270 А; режимы общеобменной (местная — предлагаемая)</t>
  </si>
  <si>
    <t xml:space="preserve">Режим ОВ</t>
  </si>
  <si>
    <t xml:space="preserve">Ср. ОВ, м³/ч</t>
  </si>
  <si>
    <t xml:space="preserve">Эл. МВВ+ОВ, кВт·ч</t>
  </si>
  <si>
    <t xml:space="preserve">Mn ср.</t>
  </si>
  <si>
    <t xml:space="preserve">Mn макс.</t>
  </si>
  <si>
    <t xml:space="preserve">Время &gt; ПДК</t>
  </si>
  <si>
    <t xml:space="preserve">Постоянный (расчётный, 270 А)</t>
  </si>
  <si>
    <t xml:space="preserve">По числу работающих постов</t>
  </si>
  <si>
    <t xml:space="preserve">Упреждение по току</t>
  </si>
  <si>
    <t xml:space="preserve">Упреждение по току + датчик (цель 0,5 ПДК)</t>
  </si>
  <si>
    <t xml:space="preserve">То же, цель 0,7 ПДК</t>
  </si>
  <si>
    <t xml:space="preserve">Ошибка модели: реальный захват 70 % вместо 80 % — постоянный</t>
  </si>
  <si>
    <t xml:space="preserve">Ошибка модели — упреждение без датчика</t>
  </si>
  <si>
    <t xml:space="preserve">Ошибка модели — упреждение + датчик (сам добавил воздух)</t>
  </si>
  <si>
    <t xml:space="preserve">В. Цех из 4 видов сварки (CO₂ 225 А · УОНИ-13/45 · ФЦ-12 · контактная); местные отсосы 5 500 м³/ч, ОВ по СП 60 — 1 022 м³/ч</t>
  </si>
  <si>
    <t xml:space="preserve">МВВ / ОВ</t>
  </si>
  <si>
    <t xml:space="preserve">max Σ C/ПДК</t>
  </si>
  <si>
    <t xml:space="preserve">Без регулирования / пост.</t>
  </si>
  <si>
    <t xml:space="preserve">«Открыто/закрыто» + ПЧ / пост.</t>
  </si>
  <si>
    <t xml:space="preserve">Предлагаемая / пост.</t>
  </si>
  <si>
    <t xml:space="preserve">Предлагаемая / по числу постов</t>
  </si>
  <si>
    <t xml:space="preserve">Предлагаемая / по выделениям + датчики, цель 0,5</t>
  </si>
  <si>
    <t xml:space="preserve">то же, цель 0,8 (та же безопасность, что у пост.)</t>
  </si>
  <si>
    <t xml:space="preserve">то же, цель 0,9</t>
  </si>
  <si>
    <t xml:space="preserve">ВЫВОДЫ (после исправлений 11.10.2026):</t>
  </si>
  <si>
    <t xml:space="preserve">1. Основная экономия электроэнергии — от регулирования местной вытяжки: «открыто/закрыто» + ПЧ даёт −64 % против работы без регулирования; предлагаемая система — ещё −6 % и, главное, точность: перерасход 3 % времени против 39 %.</t>
  </si>
  <si>
    <t xml:space="preserve">2. Общеобменная по потребности — это компромисс «тепло ↔ запас по ПДК». При той же безопасности, что у постоянной (max Σ C/ПДК ≈ 0,71), экономия тепла всего −7 % (166 → 155 кВт·ч, таблица В); при допуске до 0,9 ПДК — до −19 %. Прежние цифры (−37…−56 %) были завышены из-за двойного учёта воздуха отсосов.</t>
  </si>
  <si>
    <t xml:space="preserve">3. Простое регулирование «по числу работающих постов» даёт почти тот же результат, что сложное по выделениям (таблица Б: 369 кВт·ч при Mn макс. 0,144).</t>
  </si>
  <si>
    <t xml:space="preserve">4. Датчик нужен для безопасности, а не для экономии: при ошибке модели (захват 70 % вместо 80 %) система с датчиком сама добавила воздух (Mn макс. 0,123), без датчика — 0,159.</t>
  </si>
  <si>
    <t xml:space="preserve">5. Связь местной и общеобменной: при снижении расходов отсосов уменьшается разбавление воздуха цеха, общеобменная должна это компенсировать — это аргумент за СОГЛАСОВАННОЕ управление (новизна).</t>
  </si>
  <si>
    <t xml:space="preserve">6. Зона дыхания сварщика: при η = 0,8 концентрация у лица в 7 раз выше фона цеха и выше ПДК во всех режимах; ПДК в зоне дыхания обеспечивается только захватом η ≥ 0,93 — определяет конструкция отсоса, а не воздухообмен.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</si>
</sst>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"/>
    <numFmt numFmtId="166" formatCode="0.00E+00"/>
    <numFmt numFmtId="167" formatCode="0.0000"/>
    <numFmt numFmtId="168" formatCode="0.0"/>
    <numFmt numFmtId="169" formatCode="0"/>
    <numFmt numFmtId="170" formatCode="0.00"/>
    <numFmt numFmtId="171" formatCode="General"/>
    <numFmt numFmtId="172" formatCode="0.000000"/>
    <numFmt numFmtId="173" formatCode="0.0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29.85" hidden="false" customHeight="false" outlineLevel="0" collapsed="false">
      <c r="B1" s="1" t="s">
        <v>0</v>
      </c>
    </row>
    <row r="2" customFormat="false" ht="26.8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2" t="s">
        <v>4</v>
      </c>
    </row>
    <row r="7" customFormat="false" ht="26.8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2" t="s">
        <v>7</v>
      </c>
    </row>
    <row r="11" customFormat="false" ht="26.85" hidden="false" customHeight="false" outlineLevel="0" collapsed="false">
      <c r="B11" s="2" t="s">
        <v>8</v>
      </c>
    </row>
    <row r="12" customFormat="false" ht="26.8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2" t="s">
        <v>11</v>
      </c>
    </row>
    <row r="16" customFormat="false" ht="26.85" hidden="false" customHeight="false" outlineLevel="0" collapsed="false">
      <c r="B16" s="2" t="s">
        <v>12</v>
      </c>
    </row>
    <row r="17" customFormat="false" ht="26.8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  <row r="19" customFormat="false" ht="26.85" hidden="false" customHeight="false" outlineLevel="0" collapsed="false">
      <c r="B19" s="2" t="s">
        <v>15</v>
      </c>
    </row>
    <row r="20" customFormat="false" ht="26.85" hidden="false" customHeight="false" outlineLevel="0" collapsed="false">
      <c r="B20" s="2" t="s">
        <v>16</v>
      </c>
    </row>
    <row r="21" customFormat="false" ht="26.85" hidden="false" customHeight="false" outlineLevel="0" collapsed="false">
      <c r="B21" s="2" t="s">
        <v>17</v>
      </c>
    </row>
    <row r="22" customFormat="false" ht="26.85" hidden="false" customHeight="false" outlineLevel="0" collapsed="false">
      <c r="B22" s="2" t="s">
        <v>18</v>
      </c>
    </row>
    <row r="23" customFormat="false" ht="15" hidden="false" customHeight="false" outlineLevel="0" collapsed="false">
      <c r="B23" s="2" t="s">
        <v>19</v>
      </c>
    </row>
    <row r="24" customFormat="false" ht="26.85" hidden="false" customHeight="false" outlineLevel="0" collapsed="false">
      <c r="B24" s="2" t="s">
        <v>20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3" t="s">
        <v>21</v>
      </c>
    </row>
    <row r="27" customFormat="false" ht="39.55" hidden="false" customHeight="false" outlineLevel="0" collapsed="false">
      <c r="B27" s="2" t="s">
        <v>22</v>
      </c>
    </row>
    <row r="28" customFormat="false" ht="26.85" hidden="false" customHeight="false" outlineLevel="0" collapsed="false">
      <c r="B28" s="2" t="s">
        <v>23</v>
      </c>
    </row>
    <row r="29" customFormat="false" ht="15" hidden="false" customHeight="false" outlineLevel="0" collapsed="false">
      <c r="B29" s="2"/>
    </row>
    <row r="30" customFormat="false" ht="15" hidden="false" customHeight="false" outlineLevel="0" collapsed="false">
      <c r="B30" s="3" t="s">
        <v>24</v>
      </c>
    </row>
    <row r="31" customFormat="false" ht="26.85" hidden="false" customHeight="false" outlineLevel="0" collapsed="false">
      <c r="B31" s="2" t="s">
        <v>25</v>
      </c>
    </row>
    <row r="32" customFormat="false" ht="26.85" hidden="false" customHeight="false" outlineLevel="0" collapsed="false">
      <c r="B32" s="2" t="s">
        <v>26</v>
      </c>
    </row>
    <row r="33" customFormat="false" ht="26.85" hidden="false" customHeight="false" outlineLevel="0" collapsed="false">
      <c r="B33" s="2" t="s">
        <v>27</v>
      </c>
    </row>
    <row r="34" customFormat="false" ht="26.85" hidden="false" customHeight="false" outlineLevel="0" collapsed="false">
      <c r="B34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29</v>
      </c>
    </row>
    <row r="2" customFormat="false" ht="60" hidden="false" customHeight="true" outlineLevel="0" collapsed="false">
      <c r="A2" s="6" t="s">
        <v>30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</row>
    <row r="5" customFormat="false" ht="15" hidden="false" customHeight="false" outlineLevel="0" collapsed="false">
      <c r="A5" s="8" t="s">
        <v>39</v>
      </c>
      <c r="B5" s="8"/>
      <c r="C5" s="8"/>
      <c r="D5" s="8"/>
      <c r="E5" s="8"/>
      <c r="F5" s="8"/>
      <c r="G5" s="8"/>
      <c r="H5" s="8"/>
    </row>
    <row r="6" customFormat="false" ht="26.85" hidden="false" customHeight="false" outlineLevel="0" collapsed="false">
      <c r="A6" s="9" t="n">
        <v>1</v>
      </c>
      <c r="B6" s="9" t="s">
        <v>40</v>
      </c>
      <c r="C6" s="9" t="s">
        <v>41</v>
      </c>
      <c r="D6" s="10" t="n">
        <v>1.2</v>
      </c>
      <c r="E6" s="9" t="s">
        <v>42</v>
      </c>
      <c r="F6" s="9" t="s">
        <v>43</v>
      </c>
      <c r="G6" s="9" t="s">
        <v>44</v>
      </c>
      <c r="H6" s="9" t="s">
        <v>45</v>
      </c>
    </row>
    <row r="7" customFormat="false" ht="26.85" hidden="false" customHeight="false" outlineLevel="0" collapsed="false">
      <c r="A7" s="9" t="n">
        <v>2</v>
      </c>
      <c r="B7" s="9" t="s">
        <v>46</v>
      </c>
      <c r="C7" s="9" t="s">
        <v>47</v>
      </c>
      <c r="D7" s="11" t="n">
        <v>1.506E-005</v>
      </c>
      <c r="E7" s="9" t="s">
        <v>48</v>
      </c>
      <c r="F7" s="9" t="s">
        <v>43</v>
      </c>
      <c r="G7" s="9" t="s">
        <v>49</v>
      </c>
      <c r="H7" s="9" t="s">
        <v>50</v>
      </c>
    </row>
    <row r="8" customFormat="false" ht="26.85" hidden="false" customHeight="false" outlineLevel="0" collapsed="false">
      <c r="A8" s="9" t="n">
        <v>3</v>
      </c>
      <c r="B8" s="9" t="s">
        <v>51</v>
      </c>
      <c r="C8" s="9" t="s">
        <v>52</v>
      </c>
      <c r="D8" s="10" t="n">
        <v>1.005</v>
      </c>
      <c r="E8" s="9" t="s">
        <v>53</v>
      </c>
      <c r="F8" s="9" t="s">
        <v>43</v>
      </c>
      <c r="G8" s="9" t="s">
        <v>54</v>
      </c>
      <c r="H8" s="9" t="s">
        <v>50</v>
      </c>
    </row>
    <row r="9" customFormat="false" ht="15" hidden="false" customHeight="false" outlineLevel="0" collapsed="false">
      <c r="A9" s="8" t="s">
        <v>55</v>
      </c>
      <c r="B9" s="8"/>
      <c r="C9" s="8"/>
      <c r="D9" s="8"/>
      <c r="E9" s="8"/>
      <c r="F9" s="8"/>
      <c r="G9" s="8"/>
      <c r="H9" s="8"/>
    </row>
    <row r="10" customFormat="false" ht="26.85" hidden="false" customHeight="false" outlineLevel="0" collapsed="false">
      <c r="A10" s="9" t="n">
        <v>4</v>
      </c>
      <c r="B10" s="9" t="s">
        <v>56</v>
      </c>
      <c r="C10" s="9" t="s">
        <v>57</v>
      </c>
      <c r="D10" s="12" t="n">
        <v>0.0001</v>
      </c>
      <c r="E10" s="9" t="s">
        <v>58</v>
      </c>
      <c r="F10" s="9" t="s">
        <v>43</v>
      </c>
      <c r="G10" s="9" t="s">
        <v>59</v>
      </c>
      <c r="H10" s="9" t="s">
        <v>60</v>
      </c>
    </row>
    <row r="11" customFormat="false" ht="26.85" hidden="false" customHeight="false" outlineLevel="0" collapsed="false">
      <c r="A11" s="9" t="n">
        <v>5</v>
      </c>
      <c r="B11" s="9" t="s">
        <v>61</v>
      </c>
      <c r="C11" s="9" t="s">
        <v>62</v>
      </c>
      <c r="D11" s="13" t="n">
        <v>8</v>
      </c>
      <c r="E11" s="9" t="s">
        <v>63</v>
      </c>
      <c r="F11" s="9" t="s">
        <v>43</v>
      </c>
      <c r="G11" s="9" t="s">
        <v>64</v>
      </c>
      <c r="H11" s="9" t="s">
        <v>65</v>
      </c>
    </row>
    <row r="12" customFormat="false" ht="15" hidden="false" customHeight="false" outlineLevel="0" collapsed="false">
      <c r="A12" s="8" t="s">
        <v>66</v>
      </c>
      <c r="B12" s="8"/>
      <c r="C12" s="8"/>
      <c r="D12" s="8"/>
      <c r="E12" s="8"/>
      <c r="F12" s="8"/>
      <c r="G12" s="8"/>
      <c r="H12" s="8"/>
    </row>
    <row r="13" customFormat="false" ht="26.85" hidden="false" customHeight="false" outlineLevel="0" collapsed="false">
      <c r="A13" s="9" t="n">
        <v>6</v>
      </c>
      <c r="B13" s="9" t="s">
        <v>67</v>
      </c>
      <c r="C13" s="9" t="s">
        <v>68</v>
      </c>
      <c r="D13" s="14" t="n">
        <v>3</v>
      </c>
      <c r="E13" s="9" t="s">
        <v>69</v>
      </c>
      <c r="F13" s="9" t="s">
        <v>43</v>
      </c>
      <c r="G13" s="9" t="s">
        <v>70</v>
      </c>
      <c r="H13" s="9" t="s">
        <v>71</v>
      </c>
    </row>
    <row r="14" customFormat="false" ht="26.85" hidden="false" customHeight="false" outlineLevel="0" collapsed="false">
      <c r="A14" s="9" t="n">
        <v>7</v>
      </c>
      <c r="B14" s="9" t="s">
        <v>72</v>
      </c>
      <c r="C14" s="9" t="s">
        <v>73</v>
      </c>
      <c r="D14" s="14" t="n">
        <v>225</v>
      </c>
      <c r="E14" s="9" t="s">
        <v>74</v>
      </c>
      <c r="F14" s="9" t="s">
        <v>43</v>
      </c>
      <c r="G14" s="9" t="s">
        <v>75</v>
      </c>
      <c r="H14" s="9" t="s">
        <v>76</v>
      </c>
    </row>
    <row r="15" customFormat="false" ht="15" hidden="false" customHeight="false" outlineLevel="0" collapsed="false">
      <c r="A15" s="9" t="n">
        <v>8</v>
      </c>
      <c r="B15" s="9" t="s">
        <v>77</v>
      </c>
      <c r="C15" s="9" t="s">
        <v>78</v>
      </c>
      <c r="D15" s="13" t="n">
        <v>1.2</v>
      </c>
      <c r="E15" s="9" t="s">
        <v>79</v>
      </c>
      <c r="F15" s="9" t="s">
        <v>43</v>
      </c>
      <c r="G15" s="9"/>
      <c r="H15" s="9" t="s">
        <v>80</v>
      </c>
    </row>
    <row r="16" customFormat="false" ht="15" hidden="false" customHeight="false" outlineLevel="0" collapsed="false">
      <c r="A16" s="9" t="n">
        <v>9</v>
      </c>
      <c r="B16" s="9" t="s">
        <v>81</v>
      </c>
      <c r="C16" s="9" t="s">
        <v>82</v>
      </c>
      <c r="D16" s="14" t="n">
        <v>15</v>
      </c>
      <c r="E16" s="9" t="s">
        <v>79</v>
      </c>
      <c r="F16" s="9" t="s">
        <v>43</v>
      </c>
      <c r="G16" s="9" t="s">
        <v>83</v>
      </c>
      <c r="H16" s="9" t="s">
        <v>84</v>
      </c>
    </row>
    <row r="17" customFormat="false" ht="15" hidden="false" customHeight="false" outlineLevel="0" collapsed="false">
      <c r="A17" s="9" t="n">
        <v>10</v>
      </c>
      <c r="B17" s="9" t="s">
        <v>85</v>
      </c>
      <c r="C17" s="9" t="s">
        <v>86</v>
      </c>
      <c r="D17" s="14" t="n">
        <v>1500</v>
      </c>
      <c r="E17" s="9" t="s">
        <v>87</v>
      </c>
      <c r="F17" s="9" t="s">
        <v>43</v>
      </c>
      <c r="G17" s="9" t="s">
        <v>88</v>
      </c>
      <c r="H17" s="9" t="s">
        <v>89</v>
      </c>
    </row>
    <row r="18" customFormat="false" ht="26.85" hidden="false" customHeight="false" outlineLevel="0" collapsed="false">
      <c r="A18" s="9" t="n">
        <v>11</v>
      </c>
      <c r="B18" s="9" t="s">
        <v>90</v>
      </c>
      <c r="C18" s="9" t="s">
        <v>91</v>
      </c>
      <c r="D18" s="15" t="n">
        <v>0.8</v>
      </c>
      <c r="E18" s="9" t="s">
        <v>43</v>
      </c>
      <c r="F18" s="9" t="s">
        <v>43</v>
      </c>
      <c r="G18" s="9" t="s">
        <v>92</v>
      </c>
      <c r="H18" s="9" t="s">
        <v>93</v>
      </c>
    </row>
    <row r="19" customFormat="false" ht="15" hidden="false" customHeight="false" outlineLevel="0" collapsed="false">
      <c r="A19" s="8" t="s">
        <v>94</v>
      </c>
      <c r="B19" s="8"/>
      <c r="C19" s="8"/>
      <c r="D19" s="8"/>
      <c r="E19" s="8"/>
      <c r="F19" s="8"/>
      <c r="G19" s="8"/>
      <c r="H19" s="8"/>
    </row>
    <row r="20" customFormat="false" ht="26.85" hidden="false" customHeight="false" outlineLevel="0" collapsed="false">
      <c r="A20" s="9" t="n">
        <v>12</v>
      </c>
      <c r="B20" s="9" t="s">
        <v>95</v>
      </c>
      <c r="C20" s="9" t="s">
        <v>96</v>
      </c>
      <c r="D20" s="15" t="n">
        <v>10</v>
      </c>
      <c r="E20" s="9" t="s">
        <v>97</v>
      </c>
      <c r="F20" s="9" t="s">
        <v>43</v>
      </c>
      <c r="G20" s="9" t="s">
        <v>98</v>
      </c>
      <c r="H20" s="9" t="s">
        <v>99</v>
      </c>
    </row>
    <row r="21" customFormat="false" ht="15" hidden="false" customHeight="false" outlineLevel="0" collapsed="false">
      <c r="A21" s="9" t="n">
        <v>13</v>
      </c>
      <c r="B21" s="9" t="s">
        <v>100</v>
      </c>
      <c r="C21" s="9" t="s">
        <v>101</v>
      </c>
      <c r="D21" s="15" t="n">
        <v>7.67</v>
      </c>
      <c r="E21" s="9" t="s">
        <v>97</v>
      </c>
      <c r="F21" s="9" t="s">
        <v>43</v>
      </c>
      <c r="G21" s="9"/>
      <c r="H21" s="9" t="s">
        <v>102</v>
      </c>
    </row>
    <row r="22" customFormat="false" ht="39.55" hidden="false" customHeight="false" outlineLevel="0" collapsed="false">
      <c r="A22" s="9" t="n">
        <v>14</v>
      </c>
      <c r="B22" s="9" t="s">
        <v>103</v>
      </c>
      <c r="C22" s="9" t="s">
        <v>104</v>
      </c>
      <c r="D22" s="15" t="n">
        <v>1.9</v>
      </c>
      <c r="E22" s="9" t="s">
        <v>97</v>
      </c>
      <c r="F22" s="9" t="s">
        <v>43</v>
      </c>
      <c r="G22" s="9" t="s">
        <v>105</v>
      </c>
      <c r="H22" s="9" t="s">
        <v>106</v>
      </c>
    </row>
    <row r="23" customFormat="false" ht="15" hidden="false" customHeight="false" outlineLevel="0" collapsed="false">
      <c r="A23" s="9" t="n">
        <v>15</v>
      </c>
      <c r="B23" s="9" t="s">
        <v>107</v>
      </c>
      <c r="C23" s="9" t="s">
        <v>108</v>
      </c>
      <c r="D23" s="15" t="n">
        <v>0.43</v>
      </c>
      <c r="E23" s="9" t="s">
        <v>97</v>
      </c>
      <c r="F23" s="9" t="s">
        <v>43</v>
      </c>
      <c r="G23" s="9"/>
      <c r="H23" s="9" t="s">
        <v>102</v>
      </c>
    </row>
    <row r="24" customFormat="false" ht="15" hidden="false" customHeight="false" outlineLevel="0" collapsed="false">
      <c r="A24" s="8" t="s">
        <v>109</v>
      </c>
      <c r="B24" s="8"/>
      <c r="C24" s="8"/>
      <c r="D24" s="8"/>
      <c r="E24" s="8"/>
      <c r="F24" s="8"/>
      <c r="G24" s="8"/>
      <c r="H24" s="8"/>
    </row>
    <row r="25" customFormat="false" ht="39.55" hidden="false" customHeight="false" outlineLevel="0" collapsed="false">
      <c r="A25" s="9" t="n">
        <v>16</v>
      </c>
      <c r="B25" s="9" t="s">
        <v>110</v>
      </c>
      <c r="C25" s="9" t="s">
        <v>111</v>
      </c>
      <c r="D25" s="10" t="n">
        <v>0.2</v>
      </c>
      <c r="E25" s="9" t="s">
        <v>112</v>
      </c>
      <c r="F25" s="9" t="s">
        <v>43</v>
      </c>
      <c r="G25" s="9" t="s">
        <v>113</v>
      </c>
      <c r="H25" s="9" t="s">
        <v>114</v>
      </c>
    </row>
    <row r="26" customFormat="false" ht="26.85" hidden="false" customHeight="false" outlineLevel="0" collapsed="false">
      <c r="A26" s="9" t="n">
        <v>17</v>
      </c>
      <c r="B26" s="9" t="s">
        <v>115</v>
      </c>
      <c r="C26" s="9" t="s">
        <v>116</v>
      </c>
      <c r="D26" s="10" t="n">
        <v>0.001</v>
      </c>
      <c r="E26" s="9" t="s">
        <v>112</v>
      </c>
      <c r="F26" s="9" t="s">
        <v>43</v>
      </c>
      <c r="G26" s="9" t="s">
        <v>117</v>
      </c>
      <c r="H26" s="9" t="s">
        <v>118</v>
      </c>
    </row>
    <row r="27" customFormat="false" ht="26.85" hidden="false" customHeight="false" outlineLevel="0" collapsed="false">
      <c r="A27" s="9" t="n">
        <v>18</v>
      </c>
      <c r="B27" s="9" t="s">
        <v>119</v>
      </c>
      <c r="C27" s="9" t="s">
        <v>120</v>
      </c>
      <c r="D27" s="13" t="n">
        <v>6</v>
      </c>
      <c r="E27" s="9" t="s">
        <v>112</v>
      </c>
      <c r="F27" s="9" t="s">
        <v>43</v>
      </c>
      <c r="G27" s="9"/>
      <c r="H27" s="9" t="s">
        <v>121</v>
      </c>
    </row>
    <row r="28" customFormat="false" ht="26.85" hidden="false" customHeight="false" outlineLevel="0" collapsed="false">
      <c r="A28" s="9" t="n">
        <v>19</v>
      </c>
      <c r="B28" s="9" t="s">
        <v>122</v>
      </c>
      <c r="C28" s="9" t="s">
        <v>123</v>
      </c>
      <c r="D28" s="10" t="n">
        <v>0.04</v>
      </c>
      <c r="E28" s="9" t="s">
        <v>112</v>
      </c>
      <c r="F28" s="9" t="s">
        <v>43</v>
      </c>
      <c r="G28" s="9"/>
      <c r="H28" s="9" t="s">
        <v>124</v>
      </c>
    </row>
    <row r="29" customFormat="false" ht="26.85" hidden="false" customHeight="false" outlineLevel="0" collapsed="false">
      <c r="A29" s="9" t="n">
        <v>20</v>
      </c>
      <c r="B29" s="9" t="s">
        <v>125</v>
      </c>
      <c r="C29" s="9" t="s">
        <v>126</v>
      </c>
      <c r="D29" s="13" t="n">
        <v>1</v>
      </c>
      <c r="E29" s="9" t="s">
        <v>112</v>
      </c>
      <c r="F29" s="9" t="s">
        <v>43</v>
      </c>
      <c r="G29" s="9"/>
      <c r="H29" s="9" t="s">
        <v>127</v>
      </c>
    </row>
    <row r="30" customFormat="false" ht="15" hidden="false" customHeight="false" outlineLevel="0" collapsed="false">
      <c r="A30" s="8" t="s">
        <v>128</v>
      </c>
      <c r="B30" s="8"/>
      <c r="C30" s="8"/>
      <c r="D30" s="8"/>
      <c r="E30" s="8"/>
      <c r="F30" s="8"/>
      <c r="G30" s="8"/>
      <c r="H30" s="8"/>
    </row>
    <row r="31" customFormat="false" ht="26.85" hidden="false" customHeight="false" outlineLevel="0" collapsed="false">
      <c r="A31" s="9" t="n">
        <v>21</v>
      </c>
      <c r="B31" s="9" t="s">
        <v>129</v>
      </c>
      <c r="C31" s="9" t="s">
        <v>130</v>
      </c>
      <c r="D31" s="13" t="n">
        <v>18</v>
      </c>
      <c r="E31" s="9" t="s">
        <v>131</v>
      </c>
      <c r="F31" s="9" t="s">
        <v>43</v>
      </c>
      <c r="G31" s="9" t="s">
        <v>132</v>
      </c>
      <c r="H31" s="9" t="s">
        <v>133</v>
      </c>
    </row>
    <row r="32" customFormat="false" ht="26.85" hidden="false" customHeight="false" outlineLevel="0" collapsed="false">
      <c r="A32" s="9" t="n">
        <v>22</v>
      </c>
      <c r="B32" s="9" t="s">
        <v>134</v>
      </c>
      <c r="C32" s="9" t="s">
        <v>135</v>
      </c>
      <c r="D32" s="13" t="n">
        <v>-1.7</v>
      </c>
      <c r="E32" s="9" t="s">
        <v>131</v>
      </c>
      <c r="F32" s="9" t="s">
        <v>43</v>
      </c>
      <c r="G32" s="9" t="s">
        <v>136</v>
      </c>
      <c r="H32" s="9" t="s">
        <v>137</v>
      </c>
    </row>
    <row r="33" customFormat="false" ht="26.85" hidden="false" customHeight="false" outlineLevel="0" collapsed="false">
      <c r="A33" s="9" t="n">
        <v>23</v>
      </c>
      <c r="B33" s="9" t="s">
        <v>138</v>
      </c>
      <c r="C33" s="9" t="s">
        <v>139</v>
      </c>
      <c r="D33" s="14" t="n">
        <v>202</v>
      </c>
      <c r="E33" s="9" t="s">
        <v>140</v>
      </c>
      <c r="F33" s="9" t="s">
        <v>43</v>
      </c>
      <c r="G33" s="9"/>
      <c r="H33" s="9" t="s">
        <v>137</v>
      </c>
    </row>
    <row r="34" customFormat="false" ht="15" hidden="false" customHeight="false" outlineLevel="0" collapsed="false">
      <c r="A34" s="9" t="n">
        <v>24</v>
      </c>
      <c r="B34" s="9" t="s">
        <v>141</v>
      </c>
      <c r="C34" s="9" t="s">
        <v>142</v>
      </c>
      <c r="D34" s="14" t="n">
        <v>8</v>
      </c>
      <c r="E34" s="9" t="s">
        <v>143</v>
      </c>
      <c r="F34" s="9" t="s">
        <v>43</v>
      </c>
      <c r="G34" s="9"/>
      <c r="H34" s="9" t="s">
        <v>144</v>
      </c>
    </row>
    <row r="35" customFormat="false" ht="26.85" hidden="false" customHeight="false" outlineLevel="0" collapsed="false">
      <c r="A35" s="9" t="n">
        <v>25</v>
      </c>
      <c r="B35" s="9" t="s">
        <v>145</v>
      </c>
      <c r="C35" s="9" t="s">
        <v>146</v>
      </c>
      <c r="D35" s="14" t="n">
        <v>16588.8</v>
      </c>
      <c r="E35" s="9" t="s">
        <v>147</v>
      </c>
      <c r="F35" s="9" t="s">
        <v>148</v>
      </c>
      <c r="G35" s="9" t="s">
        <v>149</v>
      </c>
      <c r="H35" s="9" t="s">
        <v>150</v>
      </c>
    </row>
  </sheetData>
  <mergeCells count="7">
    <mergeCell ref="A2:H2"/>
    <mergeCell ref="A5:H5"/>
    <mergeCell ref="A9:H9"/>
    <mergeCell ref="A12:H12"/>
    <mergeCell ref="A19:H19"/>
    <mergeCell ref="A24:H24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151</v>
      </c>
    </row>
    <row r="2" customFormat="false" ht="60" hidden="false" customHeight="true" outlineLevel="0" collapsed="false">
      <c r="A2" s="6" t="s">
        <v>152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</row>
    <row r="5" customFormat="false" ht="15" hidden="false" customHeight="false" outlineLevel="0" collapsed="false">
      <c r="A5" s="8" t="s">
        <v>153</v>
      </c>
      <c r="B5" s="8"/>
      <c r="C5" s="8"/>
      <c r="D5" s="8"/>
      <c r="E5" s="8"/>
      <c r="F5" s="8"/>
      <c r="G5" s="8"/>
      <c r="H5" s="8"/>
    </row>
    <row r="6" customFormat="false" ht="39.55" hidden="false" customHeight="false" outlineLevel="0" collapsed="false">
      <c r="A6" s="9" t="n">
        <v>1</v>
      </c>
      <c r="B6" s="9" t="s">
        <v>154</v>
      </c>
      <c r="C6" s="9" t="s">
        <v>155</v>
      </c>
      <c r="D6" s="16" t="n">
        <f aca="false">9.05+0.00031*'1 Исходные'!$D$14*'1 Исходные'!$D$16/'1 Исходные'!$D$15^2</f>
        <v>9.7765625</v>
      </c>
      <c r="E6" s="9" t="s">
        <v>156</v>
      </c>
      <c r="F6" s="9" t="s">
        <v>157</v>
      </c>
      <c r="G6" s="9" t="s">
        <v>158</v>
      </c>
      <c r="H6" s="9" t="s">
        <v>159</v>
      </c>
    </row>
    <row r="7" customFormat="false" ht="15" hidden="false" customHeight="false" outlineLevel="0" collapsed="false">
      <c r="A7" s="9" t="n">
        <v>2</v>
      </c>
      <c r="B7" s="9" t="s">
        <v>153</v>
      </c>
      <c r="C7" s="9" t="s">
        <v>160</v>
      </c>
      <c r="D7" s="16" t="n">
        <f aca="false">'2 Выделения'!$D$6*'1 Исходные'!$D$14/1000</f>
        <v>2.1997265625</v>
      </c>
      <c r="E7" s="9" t="s">
        <v>161</v>
      </c>
      <c r="F7" s="9" t="s">
        <v>162</v>
      </c>
      <c r="G7" s="9" t="s">
        <v>163</v>
      </c>
      <c r="H7" s="9" t="s">
        <v>164</v>
      </c>
    </row>
    <row r="8" customFormat="false" ht="15" hidden="false" customHeight="false" outlineLevel="0" collapsed="false">
      <c r="A8" s="8" t="s">
        <v>165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9" t="n">
        <v>3</v>
      </c>
      <c r="B9" s="9" t="s">
        <v>166</v>
      </c>
      <c r="C9" s="9" t="s">
        <v>167</v>
      </c>
      <c r="D9" s="16" t="n">
        <f aca="false">'1 Исходные'!$D$20*'2 Выделения'!$D$7</f>
        <v>21.997265625</v>
      </c>
      <c r="E9" s="9" t="s">
        <v>168</v>
      </c>
      <c r="F9" s="9" t="s">
        <v>169</v>
      </c>
      <c r="G9" s="9" t="s">
        <v>170</v>
      </c>
      <c r="H9" s="9" t="s">
        <v>171</v>
      </c>
    </row>
    <row r="10" customFormat="false" ht="15" hidden="false" customHeight="false" outlineLevel="0" collapsed="false">
      <c r="A10" s="9" t="n">
        <v>4</v>
      </c>
      <c r="B10" s="9" t="s">
        <v>172</v>
      </c>
      <c r="C10" s="9" t="s">
        <v>173</v>
      </c>
      <c r="D10" s="16" t="n">
        <f aca="false">'1 Исходные'!$D$22*'2 Выделения'!$D$7</f>
        <v>4.17948046875</v>
      </c>
      <c r="E10" s="9" t="s">
        <v>168</v>
      </c>
      <c r="F10" s="9" t="s">
        <v>169</v>
      </c>
      <c r="G10" s="9"/>
      <c r="H10" s="9" t="s">
        <v>164</v>
      </c>
    </row>
    <row r="11" customFormat="false" ht="15" hidden="false" customHeight="false" outlineLevel="0" collapsed="false">
      <c r="A11" s="9" t="n">
        <v>5</v>
      </c>
      <c r="B11" s="9" t="s">
        <v>174</v>
      </c>
      <c r="C11" s="9" t="s">
        <v>175</v>
      </c>
      <c r="D11" s="16" t="n">
        <f aca="false">'1 Исходные'!$D$21*'2 Выделения'!$D$7</f>
        <v>16.871902734375</v>
      </c>
      <c r="E11" s="9" t="s">
        <v>168</v>
      </c>
      <c r="F11" s="9" t="s">
        <v>169</v>
      </c>
      <c r="G11" s="9"/>
      <c r="H11" s="9" t="s">
        <v>164</v>
      </c>
    </row>
    <row r="12" customFormat="false" ht="15" hidden="false" customHeight="false" outlineLevel="0" collapsed="false">
      <c r="A12" s="9" t="n">
        <v>6</v>
      </c>
      <c r="B12" s="9" t="s">
        <v>176</v>
      </c>
      <c r="C12" s="9" t="s">
        <v>177</v>
      </c>
      <c r="D12" s="16" t="n">
        <f aca="false">'1 Исходные'!$D$23*'2 Выделения'!$D$7</f>
        <v>0.945882421875</v>
      </c>
      <c r="E12" s="9" t="s">
        <v>168</v>
      </c>
      <c r="F12" s="9" t="s">
        <v>169</v>
      </c>
      <c r="G12" s="9"/>
      <c r="H12" s="9" t="s">
        <v>164</v>
      </c>
    </row>
    <row r="13" customFormat="false" ht="39.55" hidden="false" customHeight="false" outlineLevel="0" collapsed="false">
      <c r="A13" s="9" t="n">
        <v>7</v>
      </c>
      <c r="B13" s="9" t="s">
        <v>178</v>
      </c>
      <c r="C13" s="9"/>
      <c r="D13" s="16" t="n">
        <f aca="false">'1 Исходные'!$D$21+'1 Исходные'!$D$22+'1 Исходные'!$D$23-'1 Исходные'!$D$20</f>
        <v>0</v>
      </c>
      <c r="E13" s="9" t="s">
        <v>97</v>
      </c>
      <c r="F13" s="9" t="s">
        <v>179</v>
      </c>
      <c r="G13" s="9" t="s">
        <v>180</v>
      </c>
      <c r="H13" s="9" t="s">
        <v>181</v>
      </c>
    </row>
    <row r="14" customFormat="false" ht="15" hidden="false" customHeight="false" outlineLevel="0" collapsed="false">
      <c r="A14" s="8" t="s">
        <v>182</v>
      </c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9" t="n">
        <v>8</v>
      </c>
      <c r="B15" s="9" t="s">
        <v>183</v>
      </c>
      <c r="C15" s="9" t="s">
        <v>184</v>
      </c>
      <c r="D15" s="16" t="n">
        <f aca="false">'2 Выделения'!$D$10*'1 Исходные'!$D$13*1000</f>
        <v>12538.44140625</v>
      </c>
      <c r="E15" s="9" t="s">
        <v>185</v>
      </c>
      <c r="F15" s="9" t="s">
        <v>186</v>
      </c>
      <c r="G15" s="9"/>
      <c r="H15" s="9"/>
    </row>
    <row r="16" customFormat="false" ht="15" hidden="false" customHeight="false" outlineLevel="0" collapsed="false">
      <c r="A16" s="9" t="n">
        <v>9</v>
      </c>
      <c r="B16" s="9" t="s">
        <v>187</v>
      </c>
      <c r="C16" s="9" t="s">
        <v>188</v>
      </c>
      <c r="D16" s="16" t="n">
        <f aca="false">'1 Исходные'!$D$18*'2 Выделения'!$D$15</f>
        <v>10030.753125</v>
      </c>
      <c r="E16" s="9" t="s">
        <v>185</v>
      </c>
      <c r="F16" s="9" t="s">
        <v>188</v>
      </c>
      <c r="G16" s="9" t="s">
        <v>189</v>
      </c>
      <c r="H16" s="9" t="s">
        <v>190</v>
      </c>
    </row>
    <row r="17" customFormat="false" ht="26.85" hidden="false" customHeight="false" outlineLevel="0" collapsed="false">
      <c r="A17" s="9" t="n">
        <v>10</v>
      </c>
      <c r="B17" s="9" t="s">
        <v>191</v>
      </c>
      <c r="C17" s="9" t="s">
        <v>192</v>
      </c>
      <c r="D17" s="16" t="n">
        <f aca="false">(1-'1 Исходные'!$D$18)*'2 Выделения'!$D$15</f>
        <v>2507.68828125</v>
      </c>
      <c r="E17" s="9" t="s">
        <v>185</v>
      </c>
      <c r="F17" s="9" t="s">
        <v>193</v>
      </c>
      <c r="G17" s="9" t="s">
        <v>194</v>
      </c>
      <c r="H17" s="9" t="s">
        <v>195</v>
      </c>
    </row>
    <row r="18" customFormat="false" ht="15" hidden="false" customHeight="false" outlineLevel="0" collapsed="false">
      <c r="A18" s="9" t="n">
        <v>11</v>
      </c>
      <c r="B18" s="9" t="s">
        <v>196</v>
      </c>
      <c r="C18" s="9" t="s">
        <v>197</v>
      </c>
      <c r="D18" s="16" t="n">
        <f aca="false">(1-'1 Исходные'!$D$18)*'2 Выделения'!$D$11*'1 Исходные'!$D$13*1000</f>
        <v>10123.141640625</v>
      </c>
      <c r="E18" s="9" t="s">
        <v>185</v>
      </c>
      <c r="F18" s="9" t="s">
        <v>198</v>
      </c>
      <c r="G18" s="9"/>
      <c r="H18" s="9"/>
    </row>
    <row r="19" customFormat="false" ht="15" hidden="false" customHeight="false" outlineLevel="0" collapsed="false">
      <c r="A19" s="9" t="n">
        <v>12</v>
      </c>
      <c r="B19" s="9" t="s">
        <v>199</v>
      </c>
      <c r="C19" s="9" t="s">
        <v>200</v>
      </c>
      <c r="D19" s="16" t="n">
        <f aca="false">(1-'1 Исходные'!$D$18)*'2 Выделения'!$D$12*'1 Исходные'!$D$13*1000</f>
        <v>567.529453125</v>
      </c>
      <c r="E19" s="9" t="s">
        <v>185</v>
      </c>
      <c r="F19" s="9" t="s">
        <v>201</v>
      </c>
      <c r="G19" s="9"/>
      <c r="H19" s="9"/>
    </row>
    <row r="20" customFormat="false" ht="30" hidden="false" customHeight="true" outlineLevel="0" collapsed="false">
      <c r="B20" s="6" t="s">
        <v>202</v>
      </c>
      <c r="C20" s="6"/>
      <c r="D20" s="6"/>
      <c r="E20" s="6"/>
      <c r="F20" s="6"/>
      <c r="G20" s="6"/>
      <c r="H20" s="6"/>
    </row>
  </sheetData>
  <mergeCells count="5">
    <mergeCell ref="A2:H2"/>
    <mergeCell ref="A5:H5"/>
    <mergeCell ref="A8:H8"/>
    <mergeCell ref="A14:H14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203</v>
      </c>
    </row>
    <row r="2" customFormat="false" ht="60" hidden="false" customHeight="true" outlineLevel="0" collapsed="false">
      <c r="A2" s="6" t="s">
        <v>204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</row>
    <row r="5" customFormat="false" ht="15" hidden="false" customHeight="false" outlineLevel="0" collapsed="false">
      <c r="A5" s="8" t="s">
        <v>205</v>
      </c>
      <c r="B5" s="8"/>
      <c r="C5" s="8"/>
      <c r="D5" s="8"/>
      <c r="E5" s="8"/>
      <c r="F5" s="8"/>
      <c r="G5" s="8"/>
      <c r="H5" s="8"/>
    </row>
    <row r="6" customFormat="false" ht="26.85" hidden="false" customHeight="false" outlineLevel="0" collapsed="false">
      <c r="A6" s="9" t="n">
        <v>1</v>
      </c>
      <c r="B6" s="9" t="s">
        <v>206</v>
      </c>
      <c r="C6" s="9" t="s">
        <v>207</v>
      </c>
      <c r="D6" s="16" t="n">
        <f aca="false">'1 Исходные'!$D$17*'1 Исходные'!$D$13</f>
        <v>4500</v>
      </c>
      <c r="E6" s="9" t="s">
        <v>87</v>
      </c>
      <c r="F6" s="9" t="s">
        <v>208</v>
      </c>
      <c r="G6" s="9" t="s">
        <v>209</v>
      </c>
      <c r="H6" s="9" t="s">
        <v>210</v>
      </c>
    </row>
    <row r="7" customFormat="false" ht="26.85" hidden="false" customHeight="false" outlineLevel="0" collapsed="false">
      <c r="A7" s="9" t="n">
        <v>2</v>
      </c>
      <c r="B7" s="9" t="s">
        <v>211</v>
      </c>
      <c r="C7" s="9" t="s">
        <v>212</v>
      </c>
      <c r="D7" s="17" t="n">
        <f aca="false">'1 Исходные'!$D$25</f>
        <v>0.2</v>
      </c>
      <c r="E7" s="9" t="s">
        <v>112</v>
      </c>
      <c r="F7" s="9" t="s">
        <v>213</v>
      </c>
      <c r="G7" s="9"/>
      <c r="H7" s="9" t="s">
        <v>214</v>
      </c>
    </row>
    <row r="8" customFormat="false" ht="26.85" hidden="false" customHeight="false" outlineLevel="0" collapsed="false">
      <c r="A8" s="9" t="n">
        <v>3</v>
      </c>
      <c r="B8" s="9" t="s">
        <v>215</v>
      </c>
      <c r="C8" s="9" t="s">
        <v>216</v>
      </c>
      <c r="D8" s="17" t="n">
        <f aca="false">'1 Исходные'!$D$26</f>
        <v>0.001</v>
      </c>
      <c r="E8" s="9" t="s">
        <v>112</v>
      </c>
      <c r="F8" s="9"/>
      <c r="G8" s="9"/>
      <c r="H8" s="9"/>
    </row>
    <row r="9" customFormat="false" ht="52.2" hidden="false" customHeight="false" outlineLevel="0" collapsed="false">
      <c r="A9" s="9" t="n">
        <v>4</v>
      </c>
      <c r="B9" s="9" t="s">
        <v>217</v>
      </c>
      <c r="C9" s="9" t="s">
        <v>218</v>
      </c>
      <c r="D9" s="17" t="n">
        <f aca="false">'3 СП 60'!$D$7</f>
        <v>0.2</v>
      </c>
      <c r="E9" s="9" t="s">
        <v>112</v>
      </c>
      <c r="F9" s="9" t="s">
        <v>219</v>
      </c>
      <c r="G9" s="9" t="s">
        <v>220</v>
      </c>
      <c r="H9" s="9" t="s">
        <v>221</v>
      </c>
    </row>
    <row r="10" customFormat="false" ht="26.85" hidden="false" customHeight="false" outlineLevel="0" collapsed="false">
      <c r="A10" s="9" t="n">
        <v>5</v>
      </c>
      <c r="B10" s="9" t="s">
        <v>222</v>
      </c>
      <c r="C10" s="9" t="s">
        <v>223</v>
      </c>
      <c r="D10" s="16" t="n">
        <f aca="false">'3 СП 60'!$D$6+('2 Выделения'!$D$17-'3 СП 60'!$D$6*('3 СП 60'!$D$7-'3 СП 60'!$D$8))/('3 СП 60'!$D$9-'3 СП 60'!$D$8)</f>
        <v>12601.4486494975</v>
      </c>
      <c r="E10" s="9" t="s">
        <v>87</v>
      </c>
      <c r="F10" s="9" t="s">
        <v>224</v>
      </c>
      <c r="G10" s="9" t="s">
        <v>225</v>
      </c>
      <c r="H10" s="9" t="s">
        <v>210</v>
      </c>
    </row>
    <row r="11" customFormat="false" ht="26.85" hidden="false" customHeight="false" outlineLevel="0" collapsed="false">
      <c r="A11" s="9" t="n">
        <v>6</v>
      </c>
      <c r="B11" s="9" t="s">
        <v>226</v>
      </c>
      <c r="C11" s="9" t="s">
        <v>227</v>
      </c>
      <c r="D11" s="16" t="n">
        <f aca="false">MAX(0,'3 СП 60'!$D$10-'3 СП 60'!$D$6)</f>
        <v>8101.44864949748</v>
      </c>
      <c r="E11" s="9" t="s">
        <v>87</v>
      </c>
      <c r="F11" s="9" t="s">
        <v>228</v>
      </c>
      <c r="G11" s="9" t="s">
        <v>229</v>
      </c>
      <c r="H11" s="9"/>
    </row>
    <row r="12" customFormat="false" ht="26.85" hidden="false" customHeight="false" outlineLevel="0" collapsed="false">
      <c r="A12" s="9" t="n">
        <v>7</v>
      </c>
      <c r="B12" s="9" t="s">
        <v>230</v>
      </c>
      <c r="C12" s="9" t="s">
        <v>223</v>
      </c>
      <c r="D12" s="16" t="n">
        <f aca="false">'2 Выделения'!$D$17/('3 СП 60'!$D$7-'3 СП 60'!$D$8)</f>
        <v>12601.4486494975</v>
      </c>
      <c r="E12" s="9" t="s">
        <v>87</v>
      </c>
      <c r="F12" s="9" t="s">
        <v>231</v>
      </c>
      <c r="G12" s="9" t="s">
        <v>232</v>
      </c>
      <c r="H12" s="9" t="s">
        <v>233</v>
      </c>
    </row>
    <row r="13" customFormat="false" ht="26.85" hidden="false" customHeight="false" outlineLevel="0" collapsed="false">
      <c r="A13" s="9" t="n">
        <v>8</v>
      </c>
      <c r="B13" s="9" t="s">
        <v>234</v>
      </c>
      <c r="C13" s="9" t="s">
        <v>235</v>
      </c>
      <c r="D13" s="16" t="n">
        <f aca="false">'3 СП 60'!$D$8+'2 Выделения'!$D$17/'3 СП 60'!$D$10</f>
        <v>0.2</v>
      </c>
      <c r="E13" s="9" t="s">
        <v>112</v>
      </c>
      <c r="F13" s="9" t="s">
        <v>236</v>
      </c>
      <c r="G13" s="9" t="s">
        <v>237</v>
      </c>
      <c r="H13" s="9" t="s">
        <v>238</v>
      </c>
    </row>
    <row r="14" customFormat="false" ht="39.55" hidden="false" customHeight="false" outlineLevel="0" collapsed="false">
      <c r="A14" s="9" t="n">
        <v>9</v>
      </c>
      <c r="B14" s="9" t="s">
        <v>239</v>
      </c>
      <c r="C14" s="9" t="s">
        <v>240</v>
      </c>
      <c r="D14" s="16" t="n">
        <f aca="false">'2 Выделения'!$D$17/('3 СП 60'!$D$7-'3 СП 60'!$D$8)</f>
        <v>12601.4486494975</v>
      </c>
      <c r="E14" s="9" t="s">
        <v>87</v>
      </c>
      <c r="F14" s="9" t="s">
        <v>241</v>
      </c>
      <c r="G14" s="9" t="s">
        <v>242</v>
      </c>
      <c r="H14" s="9" t="s">
        <v>243</v>
      </c>
    </row>
    <row r="15" customFormat="false" ht="15" hidden="false" customHeight="false" outlineLevel="0" collapsed="false">
      <c r="A15" s="9" t="n">
        <v>10</v>
      </c>
      <c r="B15" s="9" t="s">
        <v>244</v>
      </c>
      <c r="C15" s="9" t="s">
        <v>245</v>
      </c>
      <c r="D15" s="16" t="n">
        <f aca="false">'3 СП 60'!$D$14-'3 СП 60'!$D$11</f>
        <v>4500</v>
      </c>
      <c r="E15" s="9" t="s">
        <v>87</v>
      </c>
      <c r="F15" s="9" t="s">
        <v>246</v>
      </c>
      <c r="G15" s="9" t="s">
        <v>247</v>
      </c>
      <c r="H15" s="9"/>
    </row>
    <row r="16" customFormat="false" ht="15" hidden="false" customHeight="false" outlineLevel="0" collapsed="false">
      <c r="A16" s="8" t="s">
        <v>248</v>
      </c>
      <c r="B16" s="8"/>
      <c r="C16" s="8"/>
      <c r="D16" s="8"/>
      <c r="E16" s="8"/>
      <c r="F16" s="8"/>
      <c r="G16" s="8"/>
      <c r="H16" s="8"/>
    </row>
    <row r="17" customFormat="false" ht="26.85" hidden="false" customHeight="false" outlineLevel="0" collapsed="false">
      <c r="A17" s="9" t="n">
        <v>11</v>
      </c>
      <c r="B17" s="9" t="s">
        <v>249</v>
      </c>
      <c r="C17" s="9" t="s">
        <v>250</v>
      </c>
      <c r="D17" s="16" t="n">
        <f aca="false">'2 Выделения'!$D$18/('1 Исходные'!$D$27-'1 Исходные'!$D$28)</f>
        <v>1698.51369809144</v>
      </c>
      <c r="E17" s="9" t="s">
        <v>87</v>
      </c>
      <c r="F17" s="9" t="s">
        <v>251</v>
      </c>
      <c r="G17" s="9" t="s">
        <v>252</v>
      </c>
      <c r="H17" s="9" t="s">
        <v>253</v>
      </c>
    </row>
    <row r="18" customFormat="false" ht="15" hidden="false" customHeight="false" outlineLevel="0" collapsed="false">
      <c r="A18" s="9" t="n">
        <v>12</v>
      </c>
      <c r="B18" s="9" t="s">
        <v>254</v>
      </c>
      <c r="C18" s="9" t="s">
        <v>255</v>
      </c>
      <c r="D18" s="16" t="n">
        <f aca="false">'2 Выделения'!$D$19/'1 Исходные'!$D$29</f>
        <v>567.529453125</v>
      </c>
      <c r="E18" s="9" t="s">
        <v>87</v>
      </c>
      <c r="F18" s="9" t="s">
        <v>256</v>
      </c>
      <c r="G18" s="9"/>
      <c r="H18" s="9" t="s">
        <v>253</v>
      </c>
    </row>
    <row r="19" customFormat="false" ht="39.55" hidden="false" customHeight="false" outlineLevel="0" collapsed="false">
      <c r="A19" s="9" t="n">
        <v>13</v>
      </c>
      <c r="B19" s="9" t="s">
        <v>257</v>
      </c>
      <c r="C19" s="9" t="s">
        <v>258</v>
      </c>
      <c r="D19" s="16" t="n">
        <f aca="false">MAX('3 СП 60'!$D$10,'3 СП 60'!$D$17,'3 СП 60'!$D$18)</f>
        <v>12601.4486494975</v>
      </c>
      <c r="E19" s="9" t="s">
        <v>87</v>
      </c>
      <c r="F19" s="9" t="s">
        <v>259</v>
      </c>
      <c r="G19" s="9" t="s">
        <v>260</v>
      </c>
      <c r="H19" s="9" t="s">
        <v>210</v>
      </c>
    </row>
    <row r="20" customFormat="false" ht="15" hidden="false" customHeight="false" outlineLevel="0" collapsed="false">
      <c r="A20" s="8" t="s">
        <v>261</v>
      </c>
      <c r="B20" s="8"/>
      <c r="C20" s="8"/>
      <c r="D20" s="8"/>
      <c r="E20" s="8"/>
      <c r="F20" s="8"/>
      <c r="G20" s="8"/>
      <c r="H20" s="8"/>
    </row>
    <row r="21" customFormat="false" ht="75" hidden="false" customHeight="true" outlineLevel="0" collapsed="false">
      <c r="B21" s="6" t="s">
        <v>262</v>
      </c>
      <c r="C21" s="6"/>
      <c r="D21" s="6"/>
      <c r="E21" s="6"/>
      <c r="F21" s="6"/>
      <c r="G21" s="6"/>
      <c r="H21" s="6"/>
    </row>
  </sheetData>
  <mergeCells count="5">
    <mergeCell ref="A2:H2"/>
    <mergeCell ref="A5:H5"/>
    <mergeCell ref="A16:H16"/>
    <mergeCell ref="A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5" t="s">
        <v>263</v>
      </c>
    </row>
    <row r="2" customFormat="false" ht="45" hidden="false" customHeight="true" outlineLevel="0" collapsed="false">
      <c r="A2" s="6" t="s">
        <v>264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265</v>
      </c>
      <c r="B4" s="7" t="s">
        <v>266</v>
      </c>
      <c r="C4" s="7" t="s">
        <v>267</v>
      </c>
      <c r="D4" s="7" t="s">
        <v>268</v>
      </c>
    </row>
    <row r="5" customFormat="false" ht="15" hidden="false" customHeight="false" outlineLevel="0" collapsed="false">
      <c r="A5" s="18" t="n">
        <v>0</v>
      </c>
      <c r="B5" s="18" t="n">
        <v>0.2</v>
      </c>
      <c r="C5" s="19" t="n">
        <f aca="false">LN(B5)</f>
        <v>-1.6094379124341</v>
      </c>
      <c r="D5" s="20" t="s">
        <v>269</v>
      </c>
    </row>
    <row r="6" customFormat="false" ht="15" hidden="false" customHeight="false" outlineLevel="0" collapsed="false">
      <c r="A6" s="18" t="n">
        <v>5</v>
      </c>
      <c r="B6" s="18" t="n">
        <v>0.24</v>
      </c>
      <c r="C6" s="19" t="n">
        <f aca="false">LN(B6)</f>
        <v>-1.42711635564015</v>
      </c>
      <c r="D6" s="20" t="s">
        <v>269</v>
      </c>
    </row>
    <row r="7" customFormat="false" ht="15" hidden="false" customHeight="false" outlineLevel="0" collapsed="false">
      <c r="A7" s="18" t="n">
        <v>10</v>
      </c>
      <c r="B7" s="18" t="n">
        <v>0.52</v>
      </c>
      <c r="C7" s="19" t="n">
        <f aca="false">LN(B7)</f>
        <v>-0.653926467406664</v>
      </c>
      <c r="D7" s="20" t="s">
        <v>269</v>
      </c>
    </row>
    <row r="8" customFormat="false" ht="15" hidden="false" customHeight="false" outlineLevel="0" collapsed="false">
      <c r="A8" s="18" t="n">
        <v>15</v>
      </c>
      <c r="B8" s="18" t="n">
        <v>0.9</v>
      </c>
      <c r="C8" s="19" t="n">
        <f aca="false">LN(B8)</f>
        <v>-0.105360515657826</v>
      </c>
      <c r="D8" s="20" t="s">
        <v>269</v>
      </c>
    </row>
    <row r="9" customFormat="false" ht="15" hidden="false" customHeight="false" outlineLevel="0" collapsed="false">
      <c r="A9" s="18" t="n">
        <v>20</v>
      </c>
      <c r="B9" s="18" t="n">
        <v>1.54</v>
      </c>
      <c r="C9" s="19" t="n">
        <f aca="false">LN(B9)</f>
        <v>0.431782416425538</v>
      </c>
      <c r="D9" s="20" t="s">
        <v>269</v>
      </c>
    </row>
    <row r="10" customFormat="false" ht="15" hidden="false" customHeight="false" outlineLevel="0" collapsed="false">
      <c r="A10" s="18" t="n">
        <v>25</v>
      </c>
      <c r="B10" s="18" t="n">
        <v>2.51</v>
      </c>
      <c r="C10" s="19" t="n">
        <f aca="false">LN(B10)</f>
        <v>0.920282753143693</v>
      </c>
      <c r="D10" s="20" t="s">
        <v>269</v>
      </c>
    </row>
    <row r="11" customFormat="false" ht="15" hidden="false" customHeight="false" outlineLevel="0" collapsed="false">
      <c r="A11" s="18" t="n">
        <v>30</v>
      </c>
      <c r="B11" s="18" t="n">
        <v>3.91</v>
      </c>
      <c r="C11" s="19" t="n">
        <f aca="false">LN(B11)</f>
        <v>1.36353737399727</v>
      </c>
      <c r="D11" s="20" t="s">
        <v>269</v>
      </c>
    </row>
    <row r="12" customFormat="false" ht="15" hidden="false" customHeight="false" outlineLevel="0" collapsed="false">
      <c r="A12" s="18" t="n">
        <v>35</v>
      </c>
      <c r="B12" s="18" t="n">
        <v>6.22</v>
      </c>
      <c r="C12" s="19" t="n">
        <f aca="false">LN(B12)</f>
        <v>1.82776990675109</v>
      </c>
      <c r="D12" s="20" t="s">
        <v>269</v>
      </c>
    </row>
    <row r="13" customFormat="false" ht="15" hidden="false" customHeight="false" outlineLevel="0" collapsed="false">
      <c r="A13" s="18" t="n">
        <v>40</v>
      </c>
      <c r="B13" s="18" t="n">
        <v>10.8</v>
      </c>
      <c r="C13" s="19" t="n">
        <f aca="false">LN(B13)</f>
        <v>2.37954613413017</v>
      </c>
      <c r="D13" s="20" t="s">
        <v>269</v>
      </c>
    </row>
    <row r="14" customFormat="false" ht="15" hidden="false" customHeight="false" outlineLevel="0" collapsed="false">
      <c r="A14" s="18" t="n">
        <v>45</v>
      </c>
      <c r="B14" s="18" t="n">
        <v>18.7</v>
      </c>
      <c r="C14" s="19" t="n">
        <f aca="false">LN(B14)</f>
        <v>2.92852352386054</v>
      </c>
      <c r="D14" s="20" t="s">
        <v>269</v>
      </c>
    </row>
    <row r="15" customFormat="false" ht="15" hidden="false" customHeight="false" outlineLevel="0" collapsed="false">
      <c r="A15" s="18" t="n">
        <v>50</v>
      </c>
      <c r="B15" s="18" t="n">
        <v>32.6</v>
      </c>
      <c r="C15" s="19" t="n">
        <f aca="false">LN(B15)</f>
        <v>3.48431228837266</v>
      </c>
      <c r="D15" s="20" t="s">
        <v>269</v>
      </c>
    </row>
    <row r="16" customFormat="false" ht="15" hidden="false" customHeight="false" outlineLevel="0" collapsed="false">
      <c r="A16" s="18" t="n">
        <v>55</v>
      </c>
      <c r="B16" s="18" t="n">
        <v>58.8</v>
      </c>
      <c r="C16" s="19" t="n">
        <f aca="false">LN(B16)</f>
        <v>4.07414185490458</v>
      </c>
      <c r="D16" s="20" t="s">
        <v>269</v>
      </c>
    </row>
    <row r="17" customFormat="false" ht="15" hidden="false" customHeight="false" outlineLevel="0" collapsed="false">
      <c r="A17" s="18" t="n">
        <v>60</v>
      </c>
      <c r="B17" s="18" t="n">
        <v>118</v>
      </c>
      <c r="C17" s="19" t="n">
        <f aca="false">LN(B17)</f>
        <v>4.77068462446567</v>
      </c>
      <c r="D17" s="20" t="s">
        <v>269</v>
      </c>
    </row>
    <row r="18" customFormat="false" ht="15" hidden="false" customHeight="false" outlineLevel="0" collapsed="false">
      <c r="A18" s="18" t="n">
        <v>65</v>
      </c>
      <c r="B18" s="18" t="n">
        <v>256</v>
      </c>
      <c r="C18" s="19" t="n">
        <f aca="false">LN(B18)</f>
        <v>5.54517744447956</v>
      </c>
      <c r="D18" s="20" t="s">
        <v>269</v>
      </c>
    </row>
    <row r="19" customFormat="false" ht="15" hidden="false" customHeight="false" outlineLevel="0" collapsed="false">
      <c r="A19" s="18" t="n">
        <v>70</v>
      </c>
      <c r="B19" s="18" t="n">
        <v>751</v>
      </c>
      <c r="C19" s="19" t="n">
        <f aca="false">LN(B19)</f>
        <v>6.62140565176413</v>
      </c>
      <c r="D19" s="20" t="s">
        <v>269</v>
      </c>
    </row>
    <row r="20" customFormat="false" ht="15" hidden="false" customHeight="false" outlineLevel="0" collapsed="false">
      <c r="A20" s="18" t="n">
        <v>90</v>
      </c>
      <c r="B20" s="18" t="n">
        <v>10000</v>
      </c>
      <c r="C20" s="19" t="n">
        <f aca="false">LN(B20)</f>
        <v>9.21034037197618</v>
      </c>
      <c r="D20" s="20" t="s">
        <v>270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1" min="10" style="0" width="11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7" min="16" style="0" width="9"/>
    <col collapsed="false" customWidth="true" hidden="false" outlineLevel="0" max="19" min="18" style="0" width="10"/>
    <col collapsed="false" customWidth="true" hidden="false" outlineLevel="0" max="20" min="20" style="0" width="9"/>
    <col collapsed="false" customWidth="true" hidden="false" outlineLevel="0" max="21" min="21" style="0" width="60"/>
    <col collapsed="false" customWidth="true" hidden="false" outlineLevel="0" max="22" min="22" style="0" width="34"/>
  </cols>
  <sheetData>
    <row r="1" customFormat="false" ht="16.15" hidden="false" customHeight="false" outlineLevel="0" collapsed="false">
      <c r="A1" s="5" t="s">
        <v>271</v>
      </c>
    </row>
    <row r="2" customFormat="false" ht="75" hidden="false" customHeight="true" outlineLevel="0" collapsed="false">
      <c r="A2" s="6" t="s">
        <v>272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4" customFormat="false" ht="39.55" hidden="false" customHeight="false" outlineLevel="0" collapsed="false">
      <c r="A4" s="7" t="s">
        <v>31</v>
      </c>
      <c r="B4" s="7" t="s">
        <v>273</v>
      </c>
      <c r="C4" s="7" t="s">
        <v>274</v>
      </c>
      <c r="D4" s="7" t="s">
        <v>275</v>
      </c>
      <c r="E4" s="7" t="s">
        <v>276</v>
      </c>
      <c r="F4" s="7" t="s">
        <v>277</v>
      </c>
      <c r="G4" s="7" t="s">
        <v>278</v>
      </c>
      <c r="H4" s="7" t="s">
        <v>279</v>
      </c>
      <c r="I4" s="7" t="s">
        <v>280</v>
      </c>
      <c r="J4" s="7" t="s">
        <v>281</v>
      </c>
      <c r="K4" s="7" t="s">
        <v>282</v>
      </c>
      <c r="L4" s="7" t="s">
        <v>283</v>
      </c>
      <c r="M4" s="7" t="s">
        <v>284</v>
      </c>
      <c r="N4" s="7" t="s">
        <v>285</v>
      </c>
      <c r="O4" s="7" t="s">
        <v>286</v>
      </c>
      <c r="P4" s="7" t="s">
        <v>266</v>
      </c>
      <c r="Q4" s="7" t="s">
        <v>287</v>
      </c>
      <c r="R4" s="7" t="s">
        <v>288</v>
      </c>
      <c r="S4" s="7" t="s">
        <v>289</v>
      </c>
      <c r="T4" s="7" t="s">
        <v>290</v>
      </c>
      <c r="U4" s="7" t="s">
        <v>291</v>
      </c>
      <c r="V4" s="7" t="s">
        <v>292</v>
      </c>
    </row>
    <row r="5" customFormat="false" ht="26.85" hidden="false" customHeight="false" outlineLevel="0" collapsed="false">
      <c r="A5" s="21" t="n">
        <v>1</v>
      </c>
      <c r="B5" s="21" t="s">
        <v>293</v>
      </c>
      <c r="C5" s="21" t="s">
        <v>294</v>
      </c>
      <c r="D5" s="21" t="s">
        <v>295</v>
      </c>
      <c r="E5" s="22" t="n">
        <v>0.2</v>
      </c>
      <c r="F5" s="23"/>
      <c r="G5" s="24" t="n">
        <v>1499.1102</v>
      </c>
      <c r="H5" s="23"/>
      <c r="I5" s="23"/>
      <c r="J5" s="25" t="n">
        <v>0.2</v>
      </c>
      <c r="K5" s="23"/>
      <c r="L5" s="26" t="n">
        <f aca="false">E5</f>
        <v>0.2</v>
      </c>
      <c r="M5" s="27" t="n">
        <f aca="false">G5/3600/(PI()*L5^2/4)</f>
        <v>13.2550443649711</v>
      </c>
      <c r="N5" s="28" t="n">
        <f aca="false">M5*L5/'1 Исходные'!$D$7</f>
        <v>176029.805643707</v>
      </c>
      <c r="O5" s="23"/>
      <c r="P5" s="26" t="n">
        <f aca="false">J5</f>
        <v>0.2</v>
      </c>
      <c r="Q5" s="27" t="n">
        <f aca="false">'1 Исходные'!$D$6*M5^2/2</f>
        <v>105.417720670411</v>
      </c>
      <c r="R5" s="27" t="n">
        <f aca="false">P5*Q5</f>
        <v>21.0835441340823</v>
      </c>
      <c r="S5" s="29" t="n">
        <v>21.083544</v>
      </c>
      <c r="T5" s="30" t="n">
        <f aca="false">R5-S5</f>
        <v>1.34082259961588E-007</v>
      </c>
      <c r="U5" s="9" t="s">
        <v>296</v>
      </c>
      <c r="V5" s="9" t="s">
        <v>297</v>
      </c>
    </row>
    <row r="6" customFormat="false" ht="39.55" hidden="false" customHeight="false" outlineLevel="0" collapsed="false">
      <c r="A6" s="21" t="n">
        <v>2</v>
      </c>
      <c r="B6" s="21" t="s">
        <v>293</v>
      </c>
      <c r="C6" s="21" t="s">
        <v>298</v>
      </c>
      <c r="D6" s="21" t="s">
        <v>299</v>
      </c>
      <c r="E6" s="22" t="n">
        <v>0.2</v>
      </c>
      <c r="F6" s="31" t="n">
        <v>6</v>
      </c>
      <c r="G6" s="32" t="n">
        <f aca="false">$G$5</f>
        <v>1499.1102</v>
      </c>
      <c r="H6" s="23"/>
      <c r="I6" s="23"/>
      <c r="J6" s="23"/>
      <c r="K6" s="23"/>
      <c r="L6" s="26" t="n">
        <f aca="false">E6</f>
        <v>0.2</v>
      </c>
      <c r="M6" s="27" t="n">
        <f aca="false">G6/3600/(PI()*L6^2/4)</f>
        <v>13.2550443649711</v>
      </c>
      <c r="N6" s="28" t="n">
        <f aca="false">M6*L6/'1 Исходные'!$D$7</f>
        <v>176029.805643707</v>
      </c>
      <c r="O6" s="30" t="n">
        <f aca="false">IF(N6&lt;=2000,64/N6,IF(N6&gt;=4000,0.11*('1 Исходные'!$D$10/E6+68/N6)^0.25,(1-(N6-2000)/2000)*64/2000+(N6-2000)/2000*0.11*('1 Исходные'!$D$10/E6+68/4000)^0.25))</f>
        <v>0.0189796261646246</v>
      </c>
      <c r="P6" s="26" t="n">
        <f aca="false">O6*F6/E6</f>
        <v>0.569388784938739</v>
      </c>
      <c r="Q6" s="27" t="n">
        <f aca="false">'1 Исходные'!$D$6*M6^2/2</f>
        <v>105.417720670411</v>
      </c>
      <c r="R6" s="27" t="n">
        <f aca="false">P6*Q6</f>
        <v>60.0236678835369</v>
      </c>
      <c r="S6" s="29" t="n">
        <v>60.023667</v>
      </c>
      <c r="T6" s="30" t="n">
        <f aca="false">R6-S6</f>
        <v>8.8353691296561E-007</v>
      </c>
      <c r="U6" s="9" t="s">
        <v>300</v>
      </c>
      <c r="V6" s="9" t="s">
        <v>301</v>
      </c>
    </row>
    <row r="7" customFormat="false" ht="52.2" hidden="false" customHeight="false" outlineLevel="0" collapsed="false">
      <c r="A7" s="21" t="n">
        <v>3</v>
      </c>
      <c r="B7" s="21" t="s">
        <v>293</v>
      </c>
      <c r="C7" s="21" t="s">
        <v>302</v>
      </c>
      <c r="D7" s="21" t="s">
        <v>295</v>
      </c>
      <c r="E7" s="22" t="n">
        <v>0.2</v>
      </c>
      <c r="F7" s="23"/>
      <c r="G7" s="32" t="n">
        <f aca="false">$G$5</f>
        <v>1499.1102</v>
      </c>
      <c r="H7" s="23"/>
      <c r="I7" s="23"/>
      <c r="J7" s="33" t="n">
        <v>90</v>
      </c>
      <c r="K7" s="31" t="n">
        <v>1.5</v>
      </c>
      <c r="L7" s="26" t="n">
        <f aca="false">E7</f>
        <v>0.2</v>
      </c>
      <c r="M7" s="27" t="n">
        <f aca="false">G7/3600/(PI()*L7^2/4)</f>
        <v>13.2550443649711</v>
      </c>
      <c r="N7" s="28" t="n">
        <f aca="false">M7*L7/'1 Исходные'!$D$7</f>
        <v>176029.805643707</v>
      </c>
      <c r="O7" s="23"/>
      <c r="P7" s="26" t="n">
        <f aca="false">(0.0000001634831*J7^3-0.000081581126*J7^2+0.01714184*J7)*IF(K7&lt;1,0.21/K7^2.5,0.21/K7^0.5)</f>
        <v>0.171659349929852</v>
      </c>
      <c r="Q7" s="27" t="n">
        <f aca="false">'1 Исходные'!$D$6*M7^2/2</f>
        <v>105.417720670411</v>
      </c>
      <c r="R7" s="27" t="n">
        <f aca="false">P7*Q7</f>
        <v>18.0959374013695</v>
      </c>
      <c r="S7" s="29" t="n">
        <v>18.095937</v>
      </c>
      <c r="T7" s="30" t="n">
        <f aca="false">R7-S7</f>
        <v>4.01369494085202E-007</v>
      </c>
      <c r="U7" s="9" t="s">
        <v>303</v>
      </c>
      <c r="V7" s="9" t="s">
        <v>304</v>
      </c>
    </row>
    <row r="8" customFormat="false" ht="52.2" hidden="false" customHeight="false" outlineLevel="0" collapsed="false">
      <c r="A8" s="21" t="n">
        <v>4</v>
      </c>
      <c r="B8" s="21" t="s">
        <v>293</v>
      </c>
      <c r="C8" s="21" t="s">
        <v>305</v>
      </c>
      <c r="D8" s="21" t="s">
        <v>295</v>
      </c>
      <c r="E8" s="22" t="n">
        <v>0.2</v>
      </c>
      <c r="F8" s="23"/>
      <c r="G8" s="32" t="n">
        <f aca="false">$G$5</f>
        <v>1499.1102</v>
      </c>
      <c r="H8" s="23"/>
      <c r="I8" s="23"/>
      <c r="J8" s="33" t="n">
        <v>45</v>
      </c>
      <c r="K8" s="31" t="n">
        <v>1.5</v>
      </c>
      <c r="L8" s="26" t="n">
        <f aca="false">E8</f>
        <v>0.2</v>
      </c>
      <c r="M8" s="27" t="n">
        <f aca="false">G8/3600/(PI()*L8^2/4)</f>
        <v>13.2550443649711</v>
      </c>
      <c r="N8" s="28" t="n">
        <f aca="false">M8*L8/'1 Исходные'!$D$7</f>
        <v>176029.805643707</v>
      </c>
      <c r="O8" s="23"/>
      <c r="P8" s="26" t="n">
        <f aca="false">(0.0000001634831*J8^3-0.000081581126*J8^2+0.01714184*J8)*IF(K8&lt;1,0.21/K8^2.5,0.21/K8^0.5)</f>
        <v>0.106492764891255</v>
      </c>
      <c r="Q8" s="27" t="n">
        <f aca="false">'1 Исходные'!$D$6*M8^2/2</f>
        <v>105.417720670411</v>
      </c>
      <c r="R8" s="27" t="n">
        <f aca="false">P8*Q8</f>
        <v>11.2262245427261</v>
      </c>
      <c r="S8" s="29" t="n">
        <v>11.226224</v>
      </c>
      <c r="T8" s="30" t="n">
        <f aca="false">R8-S8</f>
        <v>5.42726116492531E-007</v>
      </c>
      <c r="U8" s="9" t="s">
        <v>306</v>
      </c>
      <c r="V8" s="9" t="s">
        <v>304</v>
      </c>
    </row>
    <row r="9" customFormat="false" ht="26.85" hidden="false" customHeight="false" outlineLevel="0" collapsed="false">
      <c r="A9" s="21" t="n">
        <v>5</v>
      </c>
      <c r="B9" s="21" t="s">
        <v>293</v>
      </c>
      <c r="C9" s="21" t="s">
        <v>307</v>
      </c>
      <c r="D9" s="21" t="s">
        <v>308</v>
      </c>
      <c r="E9" s="22" t="n">
        <v>0.2</v>
      </c>
      <c r="F9" s="23"/>
      <c r="G9" s="32" t="n">
        <f aca="false">$G$5</f>
        <v>1499.1102</v>
      </c>
      <c r="H9" s="23"/>
      <c r="I9" s="23"/>
      <c r="J9" s="29" t="n">
        <v>0</v>
      </c>
      <c r="K9" s="23"/>
      <c r="L9" s="26" t="n">
        <f aca="false">E9</f>
        <v>0.2</v>
      </c>
      <c r="M9" s="27" t="n">
        <f aca="false">G9/3600/(PI()*L9^2/4)</f>
        <v>13.2550443649711</v>
      </c>
      <c r="N9" s="28" t="n">
        <f aca="false">M9*L9/'1 Исходные'!$D$7</f>
        <v>176029.805643707</v>
      </c>
      <c r="O9" s="23"/>
      <c r="P9" s="26" t="n">
        <f aca="false">IF(J9&gt;=90,10000,EXP(LN(INDEX('4 Заслонка'!$B$5:$B$20,MATCH(J9,'4 Заслонка'!$A$5:$A$20,1)))+(J9-INDEX('4 Заслонка'!$A$5:$A$20,MATCH(J9,'4 Заслонка'!$A$5:$A$20,1)))/(INDEX('4 Заслонка'!$A$5:$A$20,MATCH(J9,'4 Заслонка'!$A$5:$A$20,1)+1)-INDEX('4 Заслонка'!$A$5:$A$20,MATCH(J9,'4 Заслонка'!$A$5:$A$20,1)))*(LN(INDEX('4 Заслонка'!$B$5:$B$20,MATCH(J9,'4 Заслонка'!$A$5:$A$20,1)+1))-LN(INDEX('4 Заслонка'!$B$5:$B$20,MATCH(J9,'4 Заслонка'!$A$5:$A$20,1))))))</f>
        <v>0.2</v>
      </c>
      <c r="Q9" s="27" t="n">
        <f aca="false">'1 Исходные'!$D$6*M9^2/2</f>
        <v>105.417720670411</v>
      </c>
      <c r="R9" s="27" t="n">
        <f aca="false">P9*Q9</f>
        <v>21.0835441340823</v>
      </c>
      <c r="S9" s="29" t="n">
        <v>21.083544</v>
      </c>
      <c r="T9" s="30" t="n">
        <f aca="false">R9-S9</f>
        <v>1.34082259961588E-007</v>
      </c>
      <c r="U9" s="9" t="s">
        <v>309</v>
      </c>
      <c r="V9" s="9" t="s">
        <v>310</v>
      </c>
    </row>
    <row r="10" customFormat="false" ht="52.2" hidden="false" customHeight="false" outlineLevel="0" collapsed="false">
      <c r="A10" s="21" t="n">
        <v>6</v>
      </c>
      <c r="B10" s="21" t="s">
        <v>293</v>
      </c>
      <c r="C10" s="21" t="s">
        <v>311</v>
      </c>
      <c r="D10" s="21" t="s">
        <v>295</v>
      </c>
      <c r="E10" s="22" t="n">
        <v>0.2</v>
      </c>
      <c r="F10" s="23"/>
      <c r="G10" s="32" t="n">
        <f aca="false">$G$5</f>
        <v>1499.1102</v>
      </c>
      <c r="H10" s="23"/>
      <c r="I10" s="23"/>
      <c r="J10" s="33" t="n">
        <v>90</v>
      </c>
      <c r="K10" s="31" t="n">
        <v>1</v>
      </c>
      <c r="L10" s="26" t="n">
        <f aca="false">E10</f>
        <v>0.2</v>
      </c>
      <c r="M10" s="27" t="n">
        <f aca="false">G10/3600/(PI()*L10^2/4)</f>
        <v>13.2550443649711</v>
      </c>
      <c r="N10" s="28" t="n">
        <f aca="false">M10*L10/'1 Исходные'!$D$7</f>
        <v>176029.805643707</v>
      </c>
      <c r="O10" s="23"/>
      <c r="P10" s="26" t="n">
        <f aca="false">(0.0000001634831*J10^3-0.000081581126*J10^2+0.01714184*J10)*IF(K10&lt;1,0.21/K10^2.5,0.21/K10^0.5)</f>
        <v>0.210238908453</v>
      </c>
      <c r="Q10" s="27" t="n">
        <f aca="false">'1 Исходные'!$D$6*M10^2/2</f>
        <v>105.417720670411</v>
      </c>
      <c r="R10" s="27" t="n">
        <f aca="false">P10*Q10</f>
        <v>22.1629065253505</v>
      </c>
      <c r="S10" s="29" t="n">
        <v>22.162906</v>
      </c>
      <c r="T10" s="30" t="n">
        <f aca="false">R10-S10</f>
        <v>5.25350525748536E-007</v>
      </c>
      <c r="U10" s="9" t="s">
        <v>312</v>
      </c>
      <c r="V10" s="9" t="s">
        <v>304</v>
      </c>
    </row>
    <row r="11" customFormat="false" ht="52.2" hidden="false" customHeight="false" outlineLevel="0" collapsed="false">
      <c r="A11" s="21" t="n">
        <v>7</v>
      </c>
      <c r="B11" s="21" t="s">
        <v>293</v>
      </c>
      <c r="C11" s="21" t="s">
        <v>313</v>
      </c>
      <c r="D11" s="21" t="s">
        <v>314</v>
      </c>
      <c r="E11" s="22" t="n">
        <v>0.2</v>
      </c>
      <c r="F11" s="23"/>
      <c r="G11" s="32" t="n">
        <f aca="false">$G$5</f>
        <v>1499.1102</v>
      </c>
      <c r="H11" s="23"/>
      <c r="I11" s="23"/>
      <c r="J11" s="22" t="n">
        <v>0.25</v>
      </c>
      <c r="K11" s="33" t="n">
        <v>15</v>
      </c>
      <c r="L11" s="26" t="n">
        <f aca="false">E11</f>
        <v>0.2</v>
      </c>
      <c r="M11" s="27" t="n">
        <f aca="false">G11/3600/(PI()*L11^2/4)</f>
        <v>13.2550443649711</v>
      </c>
      <c r="N11" s="28" t="n">
        <f aca="false">M11*L11/'1 Исходные'!$D$7</f>
        <v>176029.805643707</v>
      </c>
      <c r="O11" s="23"/>
      <c r="P11" s="30" t="n">
        <f aca="false">IF(K11&gt;40,(1-(E11/J11)^2)^2,MIN((1-(E11/J11)^2)^2,3.2*TAN(RADIANS(K11/2))^1.25*(1-(E11/J11)^2)^2))</f>
        <v>0.0328882949040095</v>
      </c>
      <c r="Q11" s="27" t="n">
        <f aca="false">'1 Исходные'!$D$6*M11^2/2</f>
        <v>105.417720670411</v>
      </c>
      <c r="R11" s="27" t="n">
        <f aca="false">P11*Q11</f>
        <v>3.46700908551699</v>
      </c>
      <c r="S11" s="29" t="n">
        <v>3.467009</v>
      </c>
      <c r="T11" s="30" t="n">
        <f aca="false">R11-S11</f>
        <v>8.55169890456864E-008</v>
      </c>
      <c r="U11" s="9" t="s">
        <v>315</v>
      </c>
      <c r="V11" s="9" t="s">
        <v>316</v>
      </c>
    </row>
    <row r="12" customFormat="false" ht="39.55" hidden="false" customHeight="false" outlineLevel="0" collapsed="false">
      <c r="A12" s="21" t="n">
        <v>8</v>
      </c>
      <c r="B12" s="21" t="s">
        <v>317</v>
      </c>
      <c r="C12" s="21" t="s">
        <v>317</v>
      </c>
      <c r="D12" s="21" t="s">
        <v>299</v>
      </c>
      <c r="E12" s="22" t="n">
        <v>0.25</v>
      </c>
      <c r="F12" s="31" t="n">
        <v>5</v>
      </c>
      <c r="G12" s="32" t="n">
        <f aca="false">$G$5</f>
        <v>1499.1102</v>
      </c>
      <c r="H12" s="23"/>
      <c r="I12" s="23"/>
      <c r="J12" s="23"/>
      <c r="K12" s="23"/>
      <c r="L12" s="26" t="n">
        <f aca="false">E12</f>
        <v>0.25</v>
      </c>
      <c r="M12" s="27" t="n">
        <f aca="false">G12/3600/(PI()*L12^2/4)</f>
        <v>8.48322839358151</v>
      </c>
      <c r="N12" s="28" t="n">
        <f aca="false">M12*L12/'1 Исходные'!$D$7</f>
        <v>140823.844514965</v>
      </c>
      <c r="O12" s="30" t="n">
        <f aca="false">IF(N12&lt;=2000,64/N12,IF(N12&gt;=4000,0.11*('1 Исходные'!$D$10/E12+68/N12)^0.25,(1-(N12-2000)/2000)*64/2000+(N12-2000)/2000*0.11*('1 Исходные'!$D$10/E12+68/4000)^0.25))</f>
        <v>0.0189612609801718</v>
      </c>
      <c r="P12" s="26" t="n">
        <f aca="false">O12*F12/E12</f>
        <v>0.379225219603435</v>
      </c>
      <c r="Q12" s="27" t="n">
        <f aca="false">'1 Исходные'!$D$6*M12^2/2</f>
        <v>43.1790983866005</v>
      </c>
      <c r="R12" s="27" t="n">
        <f aca="false">P12*Q12</f>
        <v>16.3746030679369</v>
      </c>
      <c r="S12" s="29" t="n">
        <v>16.374603</v>
      </c>
      <c r="T12" s="30" t="n">
        <f aca="false">R12-S12</f>
        <v>6.79369058786961E-008</v>
      </c>
      <c r="U12" s="9" t="s">
        <v>300</v>
      </c>
      <c r="V12" s="9" t="s">
        <v>301</v>
      </c>
    </row>
    <row r="13" customFormat="false" ht="52.2" hidden="false" customHeight="false" outlineLevel="0" collapsed="false">
      <c r="A13" s="21" t="n">
        <v>9</v>
      </c>
      <c r="B13" s="21" t="s">
        <v>317</v>
      </c>
      <c r="C13" s="21" t="s">
        <v>318</v>
      </c>
      <c r="D13" s="21" t="s">
        <v>314</v>
      </c>
      <c r="E13" s="22" t="n">
        <v>0.25</v>
      </c>
      <c r="F13" s="23"/>
      <c r="G13" s="32" t="n">
        <f aca="false">$G$12</f>
        <v>1499.1102</v>
      </c>
      <c r="H13" s="23"/>
      <c r="I13" s="23"/>
      <c r="J13" s="22" t="n">
        <v>0.315</v>
      </c>
      <c r="K13" s="33" t="n">
        <v>15</v>
      </c>
      <c r="L13" s="26" t="n">
        <f aca="false">E13</f>
        <v>0.25</v>
      </c>
      <c r="M13" s="27" t="n">
        <f aca="false">G13/3600/(PI()*L13^2/4)</f>
        <v>8.48322839358151</v>
      </c>
      <c r="N13" s="28" t="n">
        <f aca="false">M13*L13/'1 Исходные'!$D$7</f>
        <v>140823.844514965</v>
      </c>
      <c r="O13" s="23"/>
      <c r="P13" s="30" t="n">
        <f aca="false">IF(K13&gt;40,(1-(E13/J13)^2)^2,MIN((1-(E13/J13)^2)^2,3.2*TAN(RADIANS(K13/2))^1.25*(1-(E13/J13)^2)^2))</f>
        <v>0.0347630401703133</v>
      </c>
      <c r="Q13" s="27" t="n">
        <f aca="false">'1 Исходные'!$D$6*M13^2/2</f>
        <v>43.1790983866005</v>
      </c>
      <c r="R13" s="27" t="n">
        <f aca="false">P13*Q13</f>
        <v>1.5010367317313</v>
      </c>
      <c r="S13" s="29" t="n">
        <v>1.501037</v>
      </c>
      <c r="T13" s="30" t="n">
        <f aca="false">R13-S13</f>
        <v>-2.68268699032959E-007</v>
      </c>
      <c r="U13" s="9" t="s">
        <v>315</v>
      </c>
      <c r="V13" s="9" t="s">
        <v>316</v>
      </c>
    </row>
    <row r="14" customFormat="false" ht="39.55" hidden="false" customHeight="false" outlineLevel="0" collapsed="false">
      <c r="A14" s="21" t="n">
        <v>10</v>
      </c>
      <c r="B14" s="21" t="s">
        <v>317</v>
      </c>
      <c r="C14" s="21" t="s">
        <v>319</v>
      </c>
      <c r="D14" s="21" t="s">
        <v>320</v>
      </c>
      <c r="E14" s="22" t="n">
        <v>0.315</v>
      </c>
      <c r="F14" s="23"/>
      <c r="G14" s="32" t="n">
        <f aca="false">$G$12</f>
        <v>1499.1102</v>
      </c>
      <c r="H14" s="32" t="n">
        <f aca="false">G14+I14</f>
        <v>2999.1107</v>
      </c>
      <c r="I14" s="32" t="n">
        <f aca="false">$G$15</f>
        <v>1500.0005</v>
      </c>
      <c r="J14" s="23"/>
      <c r="K14" s="23"/>
      <c r="L14" s="26" t="n">
        <f aca="false">E14</f>
        <v>0.315</v>
      </c>
      <c r="M14" s="27" t="n">
        <f aca="false">H14/3600/(PI()*L14^2/4)</f>
        <v>10.6900320323573</v>
      </c>
      <c r="N14" s="28" t="n">
        <f aca="false">M14*L14/'1 Исходные'!$D$7</f>
        <v>223596.287529386</v>
      </c>
      <c r="O14" s="23"/>
      <c r="P14" s="26" t="n">
        <f aca="false">1.55*(I14/H14)-(I14/H14)^2</f>
        <v>0.525081613002005</v>
      </c>
      <c r="Q14" s="27" t="n">
        <f aca="false">'1 Исходные'!$D$6*M14^2/2</f>
        <v>68.5660709116952</v>
      </c>
      <c r="R14" s="27" t="n">
        <f aca="false">P14*Q14</f>
        <v>36.0027831115228</v>
      </c>
      <c r="S14" s="29" t="n">
        <v>36.002783</v>
      </c>
      <c r="T14" s="30" t="n">
        <f aca="false">R14-S14</f>
        <v>1.11522808765585E-007</v>
      </c>
      <c r="U14" s="9" t="s">
        <v>321</v>
      </c>
      <c r="V14" s="9" t="s">
        <v>322</v>
      </c>
    </row>
    <row r="15" customFormat="false" ht="26.85" hidden="false" customHeight="false" outlineLevel="0" collapsed="false">
      <c r="A15" s="21" t="n">
        <v>11</v>
      </c>
      <c r="B15" s="21" t="s">
        <v>323</v>
      </c>
      <c r="C15" s="21" t="s">
        <v>324</v>
      </c>
      <c r="D15" s="21" t="s">
        <v>295</v>
      </c>
      <c r="E15" s="22" t="n">
        <v>0.2</v>
      </c>
      <c r="F15" s="23"/>
      <c r="G15" s="24" t="n">
        <v>1500.0005</v>
      </c>
      <c r="H15" s="23"/>
      <c r="I15" s="23"/>
      <c r="J15" s="25" t="n">
        <v>0.2</v>
      </c>
      <c r="K15" s="23"/>
      <c r="L15" s="26" t="n">
        <f aca="false">E15</f>
        <v>0.2</v>
      </c>
      <c r="M15" s="27" t="n">
        <f aca="false">G15/3600/(PI()*L15^2/4)</f>
        <v>13.2629163452953</v>
      </c>
      <c r="N15" s="28" t="n">
        <f aca="false">M15*L15/'1 Исходные'!$D$7</f>
        <v>176134.347215076</v>
      </c>
      <c r="O15" s="23"/>
      <c r="P15" s="26" t="n">
        <f aca="false">J15</f>
        <v>0.2</v>
      </c>
      <c r="Q15" s="27" t="n">
        <f aca="false">'1 Исходные'!$D$6*M15^2/2</f>
        <v>105.54296998938</v>
      </c>
      <c r="R15" s="27" t="n">
        <f aca="false">P15*Q15</f>
        <v>21.108593997876</v>
      </c>
      <c r="S15" s="29" t="n">
        <v>21.108594</v>
      </c>
      <c r="T15" s="30" t="n">
        <f aca="false">R15-S15</f>
        <v>-2.12400053101192E-009</v>
      </c>
      <c r="U15" s="9" t="s">
        <v>296</v>
      </c>
      <c r="V15" s="9" t="s">
        <v>297</v>
      </c>
    </row>
    <row r="16" customFormat="false" ht="39.55" hidden="false" customHeight="false" outlineLevel="0" collapsed="false">
      <c r="A16" s="21" t="n">
        <v>12</v>
      </c>
      <c r="B16" s="21" t="s">
        <v>323</v>
      </c>
      <c r="C16" s="21" t="s">
        <v>325</v>
      </c>
      <c r="D16" s="21" t="s">
        <v>299</v>
      </c>
      <c r="E16" s="22" t="n">
        <v>0.2</v>
      </c>
      <c r="F16" s="31" t="n">
        <v>6</v>
      </c>
      <c r="G16" s="32" t="n">
        <f aca="false">$G$15</f>
        <v>1500.0005</v>
      </c>
      <c r="H16" s="23"/>
      <c r="I16" s="23"/>
      <c r="J16" s="23"/>
      <c r="K16" s="23"/>
      <c r="L16" s="26" t="n">
        <f aca="false">E16</f>
        <v>0.2</v>
      </c>
      <c r="M16" s="27" t="n">
        <f aca="false">G16/3600/(PI()*L16^2/4)</f>
        <v>13.2629163452953</v>
      </c>
      <c r="N16" s="28" t="n">
        <f aca="false">M16*L16/'1 Исходные'!$D$7</f>
        <v>176134.347215076</v>
      </c>
      <c r="O16" s="30" t="n">
        <f aca="false">IF(N16&lt;=2000,64/N16,IF(N16&gt;=4000,0.11*('1 Исходные'!$D$10/E16+68/N16)^0.25,(1-(N16-2000)/2000)*64/2000+(N16-2000)/2000*0.11*('1 Исходные'!$D$10/E16+68/4000)^0.25))</f>
        <v>0.0189783985626015</v>
      </c>
      <c r="P16" s="26" t="n">
        <f aca="false">O16*F16/E16</f>
        <v>0.569351956878044</v>
      </c>
      <c r="Q16" s="27" t="n">
        <f aca="false">'1 Исходные'!$D$6*M16^2/2</f>
        <v>105.54296998938</v>
      </c>
      <c r="R16" s="27" t="n">
        <f aca="false">P16*Q16</f>
        <v>60.0910964981742</v>
      </c>
      <c r="S16" s="29" t="n">
        <v>60.091096</v>
      </c>
      <c r="T16" s="30" t="n">
        <f aca="false">R16-S16</f>
        <v>4.98174181018385E-007</v>
      </c>
      <c r="U16" s="9" t="s">
        <v>300</v>
      </c>
      <c r="V16" s="9" t="s">
        <v>301</v>
      </c>
    </row>
    <row r="17" customFormat="false" ht="52.2" hidden="false" customHeight="false" outlineLevel="0" collapsed="false">
      <c r="A17" s="21" t="n">
        <v>13</v>
      </c>
      <c r="B17" s="21" t="s">
        <v>323</v>
      </c>
      <c r="C17" s="21" t="s">
        <v>326</v>
      </c>
      <c r="D17" s="21" t="s">
        <v>295</v>
      </c>
      <c r="E17" s="22" t="n">
        <v>0.2</v>
      </c>
      <c r="F17" s="23"/>
      <c r="G17" s="32" t="n">
        <f aca="false">$G$15</f>
        <v>1500.0005</v>
      </c>
      <c r="H17" s="23"/>
      <c r="I17" s="23"/>
      <c r="J17" s="33" t="n">
        <v>90</v>
      </c>
      <c r="K17" s="31" t="n">
        <v>1.5</v>
      </c>
      <c r="L17" s="26" t="n">
        <f aca="false">E17</f>
        <v>0.2</v>
      </c>
      <c r="M17" s="27" t="n">
        <f aca="false">G17/3600/(PI()*L17^2/4)</f>
        <v>13.2629163452953</v>
      </c>
      <c r="N17" s="28" t="n">
        <f aca="false">M17*L17/'1 Исходные'!$D$7</f>
        <v>176134.347215076</v>
      </c>
      <c r="O17" s="23"/>
      <c r="P17" s="26" t="n">
        <f aca="false">(0.0000001634831*J17^3-0.000081581126*J17^2+0.01714184*J17)*IF(K17&lt;1,0.21/K17^2.5,0.21/K17^0.5)</f>
        <v>0.171659349929852</v>
      </c>
      <c r="Q17" s="27" t="n">
        <f aca="false">'1 Исходные'!$D$6*M17^2/2</f>
        <v>105.54296998938</v>
      </c>
      <c r="R17" s="27" t="n">
        <f aca="false">P17*Q17</f>
        <v>18.1174376180428</v>
      </c>
      <c r="S17" s="29" t="n">
        <v>18.117437</v>
      </c>
      <c r="T17" s="30" t="n">
        <f aca="false">R17-S17</f>
        <v>6.18042815148101E-007</v>
      </c>
      <c r="U17" s="9" t="s">
        <v>303</v>
      </c>
      <c r="V17" s="9" t="s">
        <v>304</v>
      </c>
    </row>
    <row r="18" customFormat="false" ht="52.2" hidden="false" customHeight="false" outlineLevel="0" collapsed="false">
      <c r="A18" s="21" t="n">
        <v>14</v>
      </c>
      <c r="B18" s="21" t="s">
        <v>323</v>
      </c>
      <c r="C18" s="21" t="s">
        <v>327</v>
      </c>
      <c r="D18" s="21" t="s">
        <v>295</v>
      </c>
      <c r="E18" s="22" t="n">
        <v>0.2</v>
      </c>
      <c r="F18" s="23"/>
      <c r="G18" s="32" t="n">
        <f aca="false">$G$15</f>
        <v>1500.0005</v>
      </c>
      <c r="H18" s="23"/>
      <c r="I18" s="23"/>
      <c r="J18" s="33" t="n">
        <v>45</v>
      </c>
      <c r="K18" s="31" t="n">
        <v>1.5</v>
      </c>
      <c r="L18" s="26" t="n">
        <f aca="false">E18</f>
        <v>0.2</v>
      </c>
      <c r="M18" s="27" t="n">
        <f aca="false">G18/3600/(PI()*L18^2/4)</f>
        <v>13.2629163452953</v>
      </c>
      <c r="N18" s="28" t="n">
        <f aca="false">M18*L18/'1 Исходные'!$D$7</f>
        <v>176134.347215076</v>
      </c>
      <c r="O18" s="23"/>
      <c r="P18" s="26" t="n">
        <f aca="false">(0.0000001634831*J18^3-0.000081581126*J18^2+0.01714184*J18)*IF(K18&lt;1,0.21/K18^2.5,0.21/K18^0.5)</f>
        <v>0.106492764891255</v>
      </c>
      <c r="Q18" s="27" t="n">
        <f aca="false">'1 Исходные'!$D$6*M18^2/2</f>
        <v>105.54296998938</v>
      </c>
      <c r="R18" s="27" t="n">
        <f aca="false">P18*Q18</f>
        <v>11.2395626890038</v>
      </c>
      <c r="S18" s="29" t="n">
        <v>11.239562</v>
      </c>
      <c r="T18" s="30" t="n">
        <f aca="false">R18-S18</f>
        <v>6.89003838871827E-007</v>
      </c>
      <c r="U18" s="9" t="s">
        <v>306</v>
      </c>
      <c r="V18" s="9" t="s">
        <v>304</v>
      </c>
    </row>
    <row r="19" customFormat="false" ht="26.85" hidden="false" customHeight="false" outlineLevel="0" collapsed="false">
      <c r="A19" s="21" t="n">
        <v>15</v>
      </c>
      <c r="B19" s="21" t="s">
        <v>323</v>
      </c>
      <c r="C19" s="21" t="s">
        <v>328</v>
      </c>
      <c r="D19" s="21" t="s">
        <v>308</v>
      </c>
      <c r="E19" s="22" t="n">
        <v>0.2</v>
      </c>
      <c r="F19" s="23"/>
      <c r="G19" s="32" t="n">
        <f aca="false">$G$15</f>
        <v>1500.0005</v>
      </c>
      <c r="H19" s="23"/>
      <c r="I19" s="23"/>
      <c r="J19" s="29" t="n">
        <v>3.000361</v>
      </c>
      <c r="K19" s="23"/>
      <c r="L19" s="26" t="n">
        <f aca="false">E19</f>
        <v>0.2</v>
      </c>
      <c r="M19" s="27" t="n">
        <f aca="false">G19/3600/(PI()*L19^2/4)</f>
        <v>13.2629163452953</v>
      </c>
      <c r="N19" s="28" t="n">
        <f aca="false">M19*L19/'1 Исходные'!$D$7</f>
        <v>176134.347215076</v>
      </c>
      <c r="O19" s="23"/>
      <c r="P19" s="26" t="n">
        <f aca="false">IF(J19&gt;=90,10000,EXP(LN(INDEX('4 Заслонка'!$B$5:$B$20,MATCH(J19,'4 Заслонка'!$A$5:$A$20,1)))+(J19-INDEX('4 Заслонка'!$A$5:$A$20,MATCH(J19,'4 Заслонка'!$A$5:$A$20,1)))/(INDEX('4 Заслонка'!$A$5:$A$20,MATCH(J19,'4 Заслонка'!$A$5:$A$20,1)+1)-INDEX('4 Заслонка'!$A$5:$A$20,MATCH(J19,'4 Заслонка'!$A$5:$A$20,1)))*(LN(INDEX('4 Заслонка'!$B$5:$B$20,MATCH(J19,'4 Заслонка'!$A$5:$A$20,1)+1))-LN(INDEX('4 Заслонка'!$B$5:$B$20,MATCH(J19,'4 Заслонка'!$A$5:$A$20,1))))))</f>
        <v>0.223123061433025</v>
      </c>
      <c r="Q19" s="27" t="n">
        <f aca="false">'1 Исходные'!$D$6*M19^2/2</f>
        <v>105.54296998938</v>
      </c>
      <c r="R19" s="27" t="n">
        <f aca="false">P19*Q19</f>
        <v>23.5490705767643</v>
      </c>
      <c r="S19" s="29" t="n">
        <v>23.54907</v>
      </c>
      <c r="T19" s="30" t="n">
        <f aca="false">R19-S19</f>
        <v>5.76764332294033E-007</v>
      </c>
      <c r="U19" s="9" t="s">
        <v>309</v>
      </c>
      <c r="V19" s="9" t="s">
        <v>310</v>
      </c>
    </row>
    <row r="20" customFormat="false" ht="52.2" hidden="false" customHeight="false" outlineLevel="0" collapsed="false">
      <c r="A20" s="21" t="n">
        <v>16</v>
      </c>
      <c r="B20" s="21" t="s">
        <v>323</v>
      </c>
      <c r="C20" s="21" t="s">
        <v>329</v>
      </c>
      <c r="D20" s="21" t="s">
        <v>330</v>
      </c>
      <c r="E20" s="22" t="n">
        <v>0.2</v>
      </c>
      <c r="F20" s="23"/>
      <c r="G20" s="32" t="n">
        <f aca="false">$G$15</f>
        <v>1500.0005</v>
      </c>
      <c r="H20" s="32" t="n">
        <f aca="false">$G$21</f>
        <v>2999.1107</v>
      </c>
      <c r="I20" s="23"/>
      <c r="J20" s="22" t="n">
        <v>0.315</v>
      </c>
      <c r="K20" s="23"/>
      <c r="L20" s="26" t="n">
        <f aca="false">J20</f>
        <v>0.315</v>
      </c>
      <c r="M20" s="27" t="n">
        <f aca="false">H20/3600/(PI()*L20^2/4)</f>
        <v>10.6900320323573</v>
      </c>
      <c r="N20" s="28" t="n">
        <f aca="false">M20*L20/'1 Исходные'!$D$7</f>
        <v>223596.287529386</v>
      </c>
      <c r="O20" s="23"/>
      <c r="P20" s="26" t="n">
        <f aca="false">IF((E20/J20)^2&lt;=0.35,1,MAX(0.9*(1-(G20/H20)),0.55))*(1+((G20/H20)*(J20/E20)^2)^2-2*(1-(G20/H20))^2)</f>
        <v>1.12177196530919</v>
      </c>
      <c r="Q20" s="27" t="n">
        <f aca="false">'1 Исходные'!$D$6*M20^2/2</f>
        <v>68.5660709116952</v>
      </c>
      <c r="R20" s="27" t="n">
        <f aca="false">P20*Q20</f>
        <v>76.9154961201418</v>
      </c>
      <c r="S20" s="29" t="n">
        <v>76.915495</v>
      </c>
      <c r="T20" s="30" t="n">
        <f aca="false">R20-S20</f>
        <v>1.12014181752329E-006</v>
      </c>
      <c r="U20" s="9" t="s">
        <v>331</v>
      </c>
      <c r="V20" s="9" t="s">
        <v>332</v>
      </c>
    </row>
    <row r="21" customFormat="false" ht="39.55" hidden="false" customHeight="false" outlineLevel="0" collapsed="false">
      <c r="A21" s="21" t="n">
        <v>17</v>
      </c>
      <c r="B21" s="21" t="s">
        <v>333</v>
      </c>
      <c r="C21" s="21" t="s">
        <v>333</v>
      </c>
      <c r="D21" s="21" t="s">
        <v>299</v>
      </c>
      <c r="E21" s="22" t="n">
        <v>0.315</v>
      </c>
      <c r="F21" s="31" t="n">
        <v>5</v>
      </c>
      <c r="G21" s="32" t="n">
        <f aca="false">$G$12+$G$15</f>
        <v>2999.1107</v>
      </c>
      <c r="H21" s="23"/>
      <c r="I21" s="23"/>
      <c r="J21" s="23"/>
      <c r="K21" s="23"/>
      <c r="L21" s="26" t="n">
        <f aca="false">E21</f>
        <v>0.315</v>
      </c>
      <c r="M21" s="27" t="n">
        <f aca="false">G21/3600/(PI()*L21^2/4)</f>
        <v>10.6900320323573</v>
      </c>
      <c r="N21" s="28" t="n">
        <f aca="false">M21*L21/'1 Исходные'!$D$7</f>
        <v>223596.287529386</v>
      </c>
      <c r="O21" s="30" t="n">
        <f aca="false">IF(N21&lt;=2000,64/N21,IF(N21&gt;=4000,0.11*('1 Исходные'!$D$10/E21+68/N21)^0.25,(1-(N21-2000)/2000)*64/2000+(N21-2000)/2000*0.11*('1 Исходные'!$D$10/E21+68/4000)^0.25))</f>
        <v>0.0173686841750402</v>
      </c>
      <c r="P21" s="26" t="n">
        <f aca="false">O21*F21/E21</f>
        <v>0.275693399603812</v>
      </c>
      <c r="Q21" s="27" t="n">
        <f aca="false">'1 Исходные'!$D$6*M21^2/2</f>
        <v>68.5660709116952</v>
      </c>
      <c r="R21" s="27" t="n">
        <f aca="false">P21*Q21</f>
        <v>18.9032131871213</v>
      </c>
      <c r="S21" s="29" t="n">
        <v>18.903213</v>
      </c>
      <c r="T21" s="30" t="n">
        <f aca="false">R21-S21</f>
        <v>1.87121298012016E-007</v>
      </c>
      <c r="U21" s="9" t="s">
        <v>300</v>
      </c>
      <c r="V21" s="9" t="s">
        <v>301</v>
      </c>
    </row>
    <row r="22" customFormat="false" ht="52.2" hidden="false" customHeight="false" outlineLevel="0" collapsed="false">
      <c r="A22" s="21" t="n">
        <v>18</v>
      </c>
      <c r="B22" s="21" t="s">
        <v>333</v>
      </c>
      <c r="C22" s="21" t="s">
        <v>334</v>
      </c>
      <c r="D22" s="21" t="s">
        <v>314</v>
      </c>
      <c r="E22" s="22" t="n">
        <v>0.315</v>
      </c>
      <c r="F22" s="23"/>
      <c r="G22" s="32" t="n">
        <f aca="false">$G$21</f>
        <v>2999.1107</v>
      </c>
      <c r="H22" s="23"/>
      <c r="I22" s="23"/>
      <c r="J22" s="22" t="n">
        <v>0.4</v>
      </c>
      <c r="K22" s="33" t="n">
        <v>15</v>
      </c>
      <c r="L22" s="26" t="n">
        <f aca="false">E22</f>
        <v>0.315</v>
      </c>
      <c r="M22" s="27" t="n">
        <f aca="false">G22/3600/(PI()*L22^2/4)</f>
        <v>10.6900320323573</v>
      </c>
      <c r="N22" s="28" t="n">
        <f aca="false">M22*L22/'1 Исходные'!$D$7</f>
        <v>223596.287529386</v>
      </c>
      <c r="O22" s="23"/>
      <c r="P22" s="30" t="n">
        <f aca="false">IF(K22&gt;40,(1-(E22/J22)^2)^2,MIN((1-(E22/J22)^2)^2,3.2*TAN(RADIANS(K22/2))^1.25*(1-(E22/J22)^2)^2))</f>
        <v>0.0366139282566051</v>
      </c>
      <c r="Q22" s="27" t="n">
        <f aca="false">'1 Исходные'!$D$6*M22^2/2</f>
        <v>68.5660709116952</v>
      </c>
      <c r="R22" s="27" t="n">
        <f aca="false">P22*Q22</f>
        <v>2.51047320119811</v>
      </c>
      <c r="S22" s="29" t="n">
        <v>2.510473</v>
      </c>
      <c r="T22" s="30" t="n">
        <f aca="false">R22-S22</f>
        <v>2.01198105287403E-007</v>
      </c>
      <c r="U22" s="9" t="s">
        <v>315</v>
      </c>
      <c r="V22" s="9" t="s">
        <v>316</v>
      </c>
    </row>
    <row r="23" customFormat="false" ht="39.55" hidden="false" customHeight="false" outlineLevel="0" collapsed="false">
      <c r="A23" s="21" t="n">
        <v>19</v>
      </c>
      <c r="B23" s="21" t="s">
        <v>333</v>
      </c>
      <c r="C23" s="21" t="s">
        <v>335</v>
      </c>
      <c r="D23" s="21" t="s">
        <v>320</v>
      </c>
      <c r="E23" s="22" t="n">
        <v>0.4</v>
      </c>
      <c r="F23" s="23"/>
      <c r="G23" s="32" t="n">
        <f aca="false">$G$21</f>
        <v>2999.1107</v>
      </c>
      <c r="H23" s="32" t="n">
        <f aca="false">G23+I23</f>
        <v>4499.1097</v>
      </c>
      <c r="I23" s="32" t="n">
        <f aca="false">$G$24</f>
        <v>1499.999</v>
      </c>
      <c r="J23" s="23"/>
      <c r="K23" s="23"/>
      <c r="L23" s="26" t="n">
        <f aca="false">E23</f>
        <v>0.4</v>
      </c>
      <c r="M23" s="27" t="n">
        <f aca="false">H23/3600/(PI()*L23^2/4)</f>
        <v>9.94521594816242</v>
      </c>
      <c r="N23" s="28" t="n">
        <f aca="false">M23*L23/'1 Исходные'!$D$7</f>
        <v>264149.161969785</v>
      </c>
      <c r="O23" s="23"/>
      <c r="P23" s="26" t="n">
        <f aca="false">1.55*(I23/H23)-(I23/H23)^2</f>
        <v>0.405613620623889</v>
      </c>
      <c r="Q23" s="27" t="n">
        <f aca="false">'1 Исходные'!$D$6*M23^2/2</f>
        <v>59.3443921533505</v>
      </c>
      <c r="R23" s="27" t="n">
        <f aca="false">P23*Q23</f>
        <v>24.0708937650444</v>
      </c>
      <c r="S23" s="29" t="n">
        <v>24.070893</v>
      </c>
      <c r="T23" s="30" t="n">
        <f aca="false">R23-S23</f>
        <v>7.65044401163095E-007</v>
      </c>
      <c r="U23" s="9" t="s">
        <v>321</v>
      </c>
      <c r="V23" s="9" t="s">
        <v>322</v>
      </c>
    </row>
    <row r="24" customFormat="false" ht="26.85" hidden="false" customHeight="false" outlineLevel="0" collapsed="false">
      <c r="A24" s="21" t="n">
        <v>20</v>
      </c>
      <c r="B24" s="21" t="s">
        <v>336</v>
      </c>
      <c r="C24" s="21" t="s">
        <v>337</v>
      </c>
      <c r="D24" s="21" t="s">
        <v>295</v>
      </c>
      <c r="E24" s="22" t="n">
        <v>0.2</v>
      </c>
      <c r="F24" s="23"/>
      <c r="G24" s="24" t="n">
        <v>1499.999</v>
      </c>
      <c r="H24" s="23"/>
      <c r="I24" s="23"/>
      <c r="J24" s="25" t="n">
        <v>0.2</v>
      </c>
      <c r="K24" s="23"/>
      <c r="L24" s="26" t="n">
        <f aca="false">E24</f>
        <v>0.2</v>
      </c>
      <c r="M24" s="27" t="n">
        <f aca="false">G24/3600/(PI()*L24^2/4)</f>
        <v>13.2629030823833</v>
      </c>
      <c r="N24" s="28" t="n">
        <f aca="false">M24*L24/'1 Исходные'!$D$7</f>
        <v>176134.171080788</v>
      </c>
      <c r="O24" s="23"/>
      <c r="P24" s="26" t="n">
        <f aca="false">J24</f>
        <v>0.2</v>
      </c>
      <c r="Q24" s="27" t="n">
        <f aca="false">'1 Исходные'!$D$6*M24^2/2</f>
        <v>105.542758903616</v>
      </c>
      <c r="R24" s="27" t="n">
        <f aca="false">P24*Q24</f>
        <v>21.1085517807232</v>
      </c>
      <c r="S24" s="29" t="n">
        <v>21.108551</v>
      </c>
      <c r="T24" s="30" t="n">
        <f aca="false">R24-S24</f>
        <v>7.80723187432386E-007</v>
      </c>
      <c r="U24" s="9" t="s">
        <v>296</v>
      </c>
      <c r="V24" s="9" t="s">
        <v>297</v>
      </c>
    </row>
    <row r="25" customFormat="false" ht="39.55" hidden="false" customHeight="false" outlineLevel="0" collapsed="false">
      <c r="A25" s="21" t="n">
        <v>21</v>
      </c>
      <c r="B25" s="21" t="s">
        <v>336</v>
      </c>
      <c r="C25" s="21" t="s">
        <v>338</v>
      </c>
      <c r="D25" s="21" t="s">
        <v>299</v>
      </c>
      <c r="E25" s="22" t="n">
        <v>0.2</v>
      </c>
      <c r="F25" s="31" t="n">
        <v>6</v>
      </c>
      <c r="G25" s="32" t="n">
        <f aca="false">$G$24</f>
        <v>1499.999</v>
      </c>
      <c r="H25" s="23"/>
      <c r="I25" s="23"/>
      <c r="J25" s="23"/>
      <c r="K25" s="23"/>
      <c r="L25" s="26" t="n">
        <f aca="false">E25</f>
        <v>0.2</v>
      </c>
      <c r="M25" s="27" t="n">
        <f aca="false">G25/3600/(PI()*L25^2/4)</f>
        <v>13.2629030823833</v>
      </c>
      <c r="N25" s="28" t="n">
        <f aca="false">M25*L25/'1 Исходные'!$D$7</f>
        <v>176134.171080788</v>
      </c>
      <c r="O25" s="30" t="n">
        <f aca="false">IF(N25&lt;=2000,64/N25,IF(N25&gt;=4000,0.11*('1 Исходные'!$D$10/E25+68/N25)^0.25,(1-(N25-2000)/2000)*64/2000+(N25-2000)/2000*0.11*('1 Исходные'!$D$10/E25+68/4000)^0.25))</f>
        <v>0.0189784006298712</v>
      </c>
      <c r="P25" s="26" t="n">
        <f aca="false">O25*F25/E25</f>
        <v>0.569352018896135</v>
      </c>
      <c r="Q25" s="27" t="n">
        <f aca="false">'1 Исходные'!$D$6*M25^2/2</f>
        <v>105.542758903616</v>
      </c>
      <c r="R25" s="27" t="n">
        <f aca="false">P25*Q25</f>
        <v>60.0909828616418</v>
      </c>
      <c r="S25" s="29" t="n">
        <v>60.090981</v>
      </c>
      <c r="T25" s="30" t="n">
        <f aca="false">R25-S25</f>
        <v>1.86164174920123E-006</v>
      </c>
      <c r="U25" s="9" t="s">
        <v>300</v>
      </c>
      <c r="V25" s="9" t="s">
        <v>301</v>
      </c>
    </row>
    <row r="26" customFormat="false" ht="52.2" hidden="false" customHeight="false" outlineLevel="0" collapsed="false">
      <c r="A26" s="21" t="n">
        <v>22</v>
      </c>
      <c r="B26" s="21" t="s">
        <v>336</v>
      </c>
      <c r="C26" s="21" t="s">
        <v>339</v>
      </c>
      <c r="D26" s="21" t="s">
        <v>295</v>
      </c>
      <c r="E26" s="22" t="n">
        <v>0.2</v>
      </c>
      <c r="F26" s="23"/>
      <c r="G26" s="32" t="n">
        <f aca="false">$G$24</f>
        <v>1499.999</v>
      </c>
      <c r="H26" s="23"/>
      <c r="I26" s="23"/>
      <c r="J26" s="33" t="n">
        <v>90</v>
      </c>
      <c r="K26" s="31" t="n">
        <v>1.5</v>
      </c>
      <c r="L26" s="26" t="n">
        <f aca="false">E26</f>
        <v>0.2</v>
      </c>
      <c r="M26" s="27" t="n">
        <f aca="false">G26/3600/(PI()*L26^2/4)</f>
        <v>13.2629030823833</v>
      </c>
      <c r="N26" s="28" t="n">
        <f aca="false">M26*L26/'1 Исходные'!$D$7</f>
        <v>176134.171080788</v>
      </c>
      <c r="O26" s="23"/>
      <c r="P26" s="26" t="n">
        <f aca="false">(0.0000001634831*J26^3-0.000081581126*J26^2+0.01714184*J26)*IF(K26&lt;1,0.21/K26^2.5,0.21/K26^0.5)</f>
        <v>0.171659349929852</v>
      </c>
      <c r="Q26" s="27" t="n">
        <f aca="false">'1 Исходные'!$D$6*M26^2/2</f>
        <v>105.542758903616</v>
      </c>
      <c r="R26" s="27" t="n">
        <f aca="false">P26*Q26</f>
        <v>18.1174013831978</v>
      </c>
      <c r="S26" s="29" t="n">
        <v>18.117401</v>
      </c>
      <c r="T26" s="30" t="n">
        <f aca="false">R26-S26</f>
        <v>3.8319777218021E-007</v>
      </c>
      <c r="U26" s="9" t="s">
        <v>303</v>
      </c>
      <c r="V26" s="9" t="s">
        <v>304</v>
      </c>
    </row>
    <row r="27" customFormat="false" ht="52.2" hidden="false" customHeight="false" outlineLevel="0" collapsed="false">
      <c r="A27" s="21" t="n">
        <v>23</v>
      </c>
      <c r="B27" s="21" t="s">
        <v>336</v>
      </c>
      <c r="C27" s="21" t="s">
        <v>340</v>
      </c>
      <c r="D27" s="21" t="s">
        <v>295</v>
      </c>
      <c r="E27" s="22" t="n">
        <v>0.2</v>
      </c>
      <c r="F27" s="23"/>
      <c r="G27" s="32" t="n">
        <f aca="false">$G$24</f>
        <v>1499.999</v>
      </c>
      <c r="H27" s="23"/>
      <c r="I27" s="23"/>
      <c r="J27" s="33" t="n">
        <v>45</v>
      </c>
      <c r="K27" s="31" t="n">
        <v>1.5</v>
      </c>
      <c r="L27" s="26" t="n">
        <f aca="false">E27</f>
        <v>0.2</v>
      </c>
      <c r="M27" s="27" t="n">
        <f aca="false">G27/3600/(PI()*L27^2/4)</f>
        <v>13.2629030823833</v>
      </c>
      <c r="N27" s="28" t="n">
        <f aca="false">M27*L27/'1 Исходные'!$D$7</f>
        <v>176134.171080788</v>
      </c>
      <c r="O27" s="23"/>
      <c r="P27" s="26" t="n">
        <f aca="false">(0.0000001634831*J27^3-0.000081581126*J27^2+0.01714184*J27)*IF(K27&lt;1,0.21/K27^2.5,0.21/K27^0.5)</f>
        <v>0.106492764891255</v>
      </c>
      <c r="Q27" s="27" t="n">
        <f aca="false">'1 Исходные'!$D$6*M27^2/2</f>
        <v>105.542758903616</v>
      </c>
      <c r="R27" s="27" t="n">
        <f aca="false">P27*Q27</f>
        <v>11.2395402098972</v>
      </c>
      <c r="S27" s="29" t="n">
        <v>11.23954</v>
      </c>
      <c r="T27" s="30" t="n">
        <f aca="false">R27-S27</f>
        <v>2.09897194736186E-007</v>
      </c>
      <c r="U27" s="9" t="s">
        <v>306</v>
      </c>
      <c r="V27" s="9" t="s">
        <v>304</v>
      </c>
    </row>
    <row r="28" customFormat="false" ht="26.85" hidden="false" customHeight="false" outlineLevel="0" collapsed="false">
      <c r="A28" s="21" t="n">
        <v>24</v>
      </c>
      <c r="B28" s="21" t="s">
        <v>336</v>
      </c>
      <c r="C28" s="21" t="s">
        <v>341</v>
      </c>
      <c r="D28" s="21" t="s">
        <v>308</v>
      </c>
      <c r="E28" s="22" t="n">
        <v>0.2</v>
      </c>
      <c r="F28" s="23"/>
      <c r="G28" s="32" t="n">
        <f aca="false">$G$24</f>
        <v>1499.999</v>
      </c>
      <c r="H28" s="23"/>
      <c r="I28" s="23"/>
      <c r="J28" s="29" t="n">
        <v>6.865851</v>
      </c>
      <c r="K28" s="23"/>
      <c r="L28" s="26" t="n">
        <f aca="false">E28</f>
        <v>0.2</v>
      </c>
      <c r="M28" s="27" t="n">
        <f aca="false">G28/3600/(PI()*L28^2/4)</f>
        <v>13.2629030823833</v>
      </c>
      <c r="N28" s="28" t="n">
        <f aca="false">M28*L28/'1 Исходные'!$D$7</f>
        <v>176134.171080788</v>
      </c>
      <c r="O28" s="23"/>
      <c r="P28" s="26" t="n">
        <f aca="false">IF(J28&gt;=90,10000,EXP(LN(INDEX('4 Заслонка'!$B$5:$B$20,MATCH(J28,'4 Заслонка'!$A$5:$A$20,1)))+(J28-INDEX('4 Заслонка'!$A$5:$A$20,MATCH(J28,'4 Заслонка'!$A$5:$A$20,1)))/(INDEX('4 Заслонка'!$A$5:$A$20,MATCH(J28,'4 Заслонка'!$A$5:$A$20,1)+1)-INDEX('4 Заслонка'!$A$5:$A$20,MATCH(J28,'4 Заслонка'!$A$5:$A$20,1)))*(LN(INDEX('4 Заслонка'!$B$5:$B$20,MATCH(J28,'4 Заслонка'!$A$5:$A$20,1)+1))-LN(INDEX('4 Заслонка'!$B$5:$B$20,MATCH(J28,'4 Заслонка'!$A$5:$A$20,1))))))</f>
        <v>0.320271908345759</v>
      </c>
      <c r="Q28" s="27" t="n">
        <f aca="false">'1 Исходные'!$D$6*M28^2/2</f>
        <v>105.542758903616</v>
      </c>
      <c r="R28" s="27" t="n">
        <f aca="false">P28*Q28</f>
        <v>33.8023808061375</v>
      </c>
      <c r="S28" s="29" t="n">
        <v>33.802381</v>
      </c>
      <c r="T28" s="30" t="n">
        <f aca="false">R28-S28</f>
        <v>-1.9386253313769E-007</v>
      </c>
      <c r="U28" s="9" t="s">
        <v>309</v>
      </c>
      <c r="V28" s="9" t="s">
        <v>310</v>
      </c>
    </row>
    <row r="29" customFormat="false" ht="52.2" hidden="false" customHeight="false" outlineLevel="0" collapsed="false">
      <c r="A29" s="21" t="n">
        <v>25</v>
      </c>
      <c r="B29" s="21" t="s">
        <v>336</v>
      </c>
      <c r="C29" s="21" t="s">
        <v>342</v>
      </c>
      <c r="D29" s="21" t="s">
        <v>330</v>
      </c>
      <c r="E29" s="22" t="n">
        <v>0.2</v>
      </c>
      <c r="F29" s="23"/>
      <c r="G29" s="32" t="n">
        <f aca="false">$G$24</f>
        <v>1499.999</v>
      </c>
      <c r="H29" s="32" t="n">
        <f aca="false">$G$30</f>
        <v>4499.1097</v>
      </c>
      <c r="I29" s="23"/>
      <c r="J29" s="22" t="n">
        <v>0.4</v>
      </c>
      <c r="K29" s="23"/>
      <c r="L29" s="26" t="n">
        <f aca="false">J29</f>
        <v>0.4</v>
      </c>
      <c r="M29" s="27" t="n">
        <f aca="false">H29/3600/(PI()*L29^2/4)</f>
        <v>9.94521594816242</v>
      </c>
      <c r="N29" s="28" t="n">
        <f aca="false">M29*L29/'1 Исходные'!$D$7</f>
        <v>264149.161969785</v>
      </c>
      <c r="O29" s="23"/>
      <c r="P29" s="26" t="n">
        <f aca="false">IF((E29/J29)^2&lt;=0.35,1,MAX(0.9*(1-(G29/H29)),0.55))*(1+((G29/H29)*(J29/E29)^2)^2-2*(1-(G29/H29))^2)</f>
        <v>1.88976546848483</v>
      </c>
      <c r="Q29" s="27" t="n">
        <f aca="false">'1 Исходные'!$D$6*M29^2/2</f>
        <v>59.3443921533505</v>
      </c>
      <c r="R29" s="27" t="n">
        <f aca="false">P29*Q29</f>
        <v>112.146983039624</v>
      </c>
      <c r="S29" s="29" t="n">
        <v>112.14698</v>
      </c>
      <c r="T29" s="30" t="n">
        <f aca="false">R29-S29</f>
        <v>3.03962410441727E-006</v>
      </c>
      <c r="U29" s="9" t="s">
        <v>331</v>
      </c>
      <c r="V29" s="9" t="s">
        <v>332</v>
      </c>
    </row>
    <row r="30" customFormat="false" ht="39.55" hidden="false" customHeight="false" outlineLevel="0" collapsed="false">
      <c r="A30" s="21" t="n">
        <v>26</v>
      </c>
      <c r="B30" s="21" t="s">
        <v>343</v>
      </c>
      <c r="C30" s="21" t="s">
        <v>343</v>
      </c>
      <c r="D30" s="21" t="s">
        <v>299</v>
      </c>
      <c r="E30" s="22" t="n">
        <v>0.4</v>
      </c>
      <c r="F30" s="31" t="n">
        <v>10</v>
      </c>
      <c r="G30" s="32" t="n">
        <f aca="false">$G$21+$G$24</f>
        <v>4499.1097</v>
      </c>
      <c r="H30" s="23"/>
      <c r="I30" s="23"/>
      <c r="J30" s="23"/>
      <c r="K30" s="23"/>
      <c r="L30" s="26" t="n">
        <f aca="false">E30</f>
        <v>0.4</v>
      </c>
      <c r="M30" s="27" t="n">
        <f aca="false">G30/3600/(PI()*L30^2/4)</f>
        <v>9.94521594816242</v>
      </c>
      <c r="N30" s="28" t="n">
        <f aca="false">M30*L30/'1 Исходные'!$D$7</f>
        <v>264149.161969785</v>
      </c>
      <c r="O30" s="30" t="n">
        <f aca="false">IF(N30&lt;=2000,64/N30,IF(N30&gt;=4000,0.11*('1 Исходные'!$D$10/E30+68/N30)^0.25,(1-(N30-2000)/2000)*64/2000+(N30-2000)/2000*0.11*('1 Исходные'!$D$10/E30+68/4000)^0.25))</f>
        <v>0.0165096089236008</v>
      </c>
      <c r="P30" s="26" t="n">
        <f aca="false">O30*F30/E30</f>
        <v>0.412740223090021</v>
      </c>
      <c r="Q30" s="27" t="n">
        <f aca="false">'1 Исходные'!$D$6*M30^2/2</f>
        <v>59.3443921533505</v>
      </c>
      <c r="R30" s="27" t="n">
        <f aca="false">P30*Q30</f>
        <v>24.4938176565155</v>
      </c>
      <c r="S30" s="29" t="n">
        <v>24.493817</v>
      </c>
      <c r="T30" s="30" t="n">
        <f aca="false">R30-S30</f>
        <v>6.56515535268909E-007</v>
      </c>
      <c r="U30" s="9" t="s">
        <v>300</v>
      </c>
      <c r="V30" s="9" t="s">
        <v>301</v>
      </c>
    </row>
    <row r="31" customFormat="false" ht="52.2" hidden="false" customHeight="false" outlineLevel="0" collapsed="false">
      <c r="A31" s="21" t="n">
        <v>27</v>
      </c>
      <c r="B31" s="21" t="s">
        <v>343</v>
      </c>
      <c r="C31" s="21" t="s">
        <v>344</v>
      </c>
      <c r="D31" s="21" t="s">
        <v>295</v>
      </c>
      <c r="E31" s="22" t="n">
        <v>0.4</v>
      </c>
      <c r="F31" s="23"/>
      <c r="G31" s="32" t="n">
        <f aca="false">$G$30</f>
        <v>4499.1097</v>
      </c>
      <c r="H31" s="23"/>
      <c r="I31" s="23"/>
      <c r="J31" s="33" t="n">
        <v>90</v>
      </c>
      <c r="K31" s="31" t="n">
        <v>1.5</v>
      </c>
      <c r="L31" s="26" t="n">
        <f aca="false">E31</f>
        <v>0.4</v>
      </c>
      <c r="M31" s="27" t="n">
        <f aca="false">G31/3600/(PI()*L31^2/4)</f>
        <v>9.94521594816242</v>
      </c>
      <c r="N31" s="28" t="n">
        <f aca="false">M31*L31/'1 Исходные'!$D$7</f>
        <v>264149.161969785</v>
      </c>
      <c r="O31" s="23"/>
      <c r="P31" s="26" t="n">
        <f aca="false">(0.0000001634831*J31^3-0.000081581126*J31^2+0.01714184*J31)*IF(K31&lt;1,0.21/K31^2.5,0.21/K31^0.5)</f>
        <v>0.171659349929852</v>
      </c>
      <c r="Q31" s="27" t="n">
        <f aca="false">'1 Исходные'!$D$6*M31^2/2</f>
        <v>59.3443921533505</v>
      </c>
      <c r="R31" s="27" t="n">
        <f aca="false">P31*Q31</f>
        <v>10.1870197790263</v>
      </c>
      <c r="S31" s="29" t="n">
        <v>10.18702</v>
      </c>
      <c r="T31" s="30" t="n">
        <f aca="false">R31-S31</f>
        <v>-2.20973667808266E-007</v>
      </c>
      <c r="U31" s="9" t="s">
        <v>345</v>
      </c>
      <c r="V31" s="9" t="s">
        <v>304</v>
      </c>
    </row>
    <row r="32" customFormat="false" ht="39.55" hidden="false" customHeight="false" outlineLevel="0" collapsed="false">
      <c r="A32" s="21" t="n">
        <v>28</v>
      </c>
      <c r="B32" s="21" t="s">
        <v>346</v>
      </c>
      <c r="C32" s="21" t="s">
        <v>347</v>
      </c>
      <c r="D32" s="21" t="s">
        <v>347</v>
      </c>
      <c r="E32" s="23"/>
      <c r="F32" s="23"/>
      <c r="G32" s="32" t="n">
        <f aca="false">$G$30</f>
        <v>4499.1097</v>
      </c>
      <c r="H32" s="23"/>
      <c r="I32" s="23"/>
      <c r="J32" s="33" t="n">
        <v>400</v>
      </c>
      <c r="K32" s="33" t="n">
        <v>4500</v>
      </c>
      <c r="L32" s="23"/>
      <c r="M32" s="23"/>
      <c r="N32" s="23"/>
      <c r="O32" s="23"/>
      <c r="P32" s="23"/>
      <c r="Q32" s="23"/>
      <c r="R32" s="27" t="n">
        <f aca="false">J32*(G32/K32)</f>
        <v>399.920862222222</v>
      </c>
      <c r="S32" s="29" t="n">
        <v>399.920858</v>
      </c>
      <c r="T32" s="30" t="n">
        <f aca="false">R32-S32</f>
        <v>4.22222217366652E-006</v>
      </c>
      <c r="U32" s="9" t="s">
        <v>348</v>
      </c>
      <c r="V32" s="9" t="s">
        <v>349</v>
      </c>
    </row>
    <row r="33" customFormat="false" ht="39.55" hidden="false" customHeight="false" outlineLevel="0" collapsed="false">
      <c r="A33" s="21" t="n">
        <v>29</v>
      </c>
      <c r="B33" s="21" t="s">
        <v>346</v>
      </c>
      <c r="C33" s="21" t="s">
        <v>350</v>
      </c>
      <c r="D33" s="21" t="s">
        <v>299</v>
      </c>
      <c r="E33" s="22" t="n">
        <v>0.4</v>
      </c>
      <c r="F33" s="31" t="n">
        <v>5</v>
      </c>
      <c r="G33" s="32" t="n">
        <f aca="false">$G$32</f>
        <v>4499.1097</v>
      </c>
      <c r="H33" s="23"/>
      <c r="I33" s="23"/>
      <c r="J33" s="23"/>
      <c r="K33" s="23"/>
      <c r="L33" s="26" t="n">
        <f aca="false">E33</f>
        <v>0.4</v>
      </c>
      <c r="M33" s="27" t="n">
        <f aca="false">G33/3600/(PI()*L33^2/4)</f>
        <v>9.94521594816242</v>
      </c>
      <c r="N33" s="28" t="n">
        <f aca="false">M33*L33/'1 Исходные'!$D$7</f>
        <v>264149.161969785</v>
      </c>
      <c r="O33" s="30" t="n">
        <f aca="false">IF(N33&lt;=2000,64/N33,IF(N33&gt;=4000,0.11*('1 Исходные'!$D$10/E33+68/N33)^0.25,(1-(N33-2000)/2000)*64/2000+(N33-2000)/2000*0.11*('1 Исходные'!$D$10/E33+68/4000)^0.25))</f>
        <v>0.0165096089236008</v>
      </c>
      <c r="P33" s="26" t="n">
        <f aca="false">O33*F33/E33</f>
        <v>0.20637011154501</v>
      </c>
      <c r="Q33" s="27" t="n">
        <f aca="false">'1 Исходные'!$D$6*M33^2/2</f>
        <v>59.3443921533505</v>
      </c>
      <c r="R33" s="27" t="n">
        <f aca="false">P33*Q33</f>
        <v>12.2469088282578</v>
      </c>
      <c r="S33" s="29" t="n">
        <v>12.246909</v>
      </c>
      <c r="T33" s="30" t="n">
        <f aca="false">R33-S33</f>
        <v>-1.71742232879524E-007</v>
      </c>
      <c r="U33" s="9" t="s">
        <v>300</v>
      </c>
      <c r="V33" s="9" t="s">
        <v>301</v>
      </c>
    </row>
    <row r="34" customFormat="false" ht="52.2" hidden="false" customHeight="false" outlineLevel="0" collapsed="false">
      <c r="A34" s="21" t="n">
        <v>30</v>
      </c>
      <c r="B34" s="21" t="s">
        <v>346</v>
      </c>
      <c r="C34" s="21" t="s">
        <v>351</v>
      </c>
      <c r="D34" s="21" t="s">
        <v>295</v>
      </c>
      <c r="E34" s="22" t="n">
        <v>0.4</v>
      </c>
      <c r="F34" s="23"/>
      <c r="G34" s="32" t="n">
        <f aca="false">$G$32</f>
        <v>4499.1097</v>
      </c>
      <c r="H34" s="23"/>
      <c r="I34" s="23"/>
      <c r="J34" s="33" t="n">
        <v>90</v>
      </c>
      <c r="K34" s="31" t="n">
        <v>1.5</v>
      </c>
      <c r="L34" s="26" t="n">
        <f aca="false">E34</f>
        <v>0.4</v>
      </c>
      <c r="M34" s="27" t="n">
        <f aca="false">G34/3600/(PI()*L34^2/4)</f>
        <v>9.94521594816242</v>
      </c>
      <c r="N34" s="28" t="n">
        <f aca="false">M34*L34/'1 Исходные'!$D$7</f>
        <v>264149.161969785</v>
      </c>
      <c r="O34" s="23"/>
      <c r="P34" s="26" t="n">
        <f aca="false">(0.0000001634831*J34^3-0.000081581126*J34^2+0.01714184*J34)*IF(K34&lt;1,0.21/K34^2.5,0.21/K34^0.5)</f>
        <v>0.171659349929852</v>
      </c>
      <c r="Q34" s="27" t="n">
        <f aca="false">'1 Исходные'!$D$6*M34^2/2</f>
        <v>59.3443921533505</v>
      </c>
      <c r="R34" s="27" t="n">
        <f aca="false">P34*Q34</f>
        <v>10.1870197790263</v>
      </c>
      <c r="S34" s="29" t="n">
        <v>10.18702</v>
      </c>
      <c r="T34" s="30" t="n">
        <f aca="false">R34-S34</f>
        <v>-2.20973667808266E-007</v>
      </c>
      <c r="U34" s="9" t="s">
        <v>352</v>
      </c>
      <c r="V34" s="9" t="s">
        <v>304</v>
      </c>
    </row>
    <row r="35" customFormat="false" ht="26.85" hidden="false" customHeight="false" outlineLevel="0" collapsed="false">
      <c r="A35" s="21" t="n">
        <v>31</v>
      </c>
      <c r="B35" s="21" t="s">
        <v>346</v>
      </c>
      <c r="C35" s="21" t="s">
        <v>353</v>
      </c>
      <c r="D35" s="21" t="s">
        <v>295</v>
      </c>
      <c r="E35" s="22" t="n">
        <v>0.4</v>
      </c>
      <c r="F35" s="23"/>
      <c r="G35" s="32" t="n">
        <f aca="false">$G$32</f>
        <v>4499.1097</v>
      </c>
      <c r="H35" s="23"/>
      <c r="I35" s="23"/>
      <c r="J35" s="25" t="n">
        <v>1</v>
      </c>
      <c r="K35" s="23"/>
      <c r="L35" s="26" t="n">
        <f aca="false">E35</f>
        <v>0.4</v>
      </c>
      <c r="M35" s="27" t="n">
        <f aca="false">G35/3600/(PI()*L35^2/4)</f>
        <v>9.94521594816242</v>
      </c>
      <c r="N35" s="28" t="n">
        <f aca="false">M35*L35/'1 Исходные'!$D$7</f>
        <v>264149.161969785</v>
      </c>
      <c r="O35" s="23"/>
      <c r="P35" s="26" t="n">
        <f aca="false">J35</f>
        <v>1</v>
      </c>
      <c r="Q35" s="27" t="n">
        <f aca="false">'1 Исходные'!$D$6*M35^2/2</f>
        <v>59.3443921533505</v>
      </c>
      <c r="R35" s="27" t="n">
        <f aca="false">P35*Q35</f>
        <v>59.3443921533505</v>
      </c>
      <c r="S35" s="29" t="n">
        <v>59.344391</v>
      </c>
      <c r="T35" s="30" t="n">
        <f aca="false">R35-S35</f>
        <v>1.15335046757536E-006</v>
      </c>
      <c r="U35" s="9" t="s">
        <v>354</v>
      </c>
      <c r="V35" s="9" t="s">
        <v>355</v>
      </c>
    </row>
    <row r="37" customFormat="false" ht="15" hidden="false" customHeight="false" outlineLevel="0" collapsed="false">
      <c r="B37" s="34" t="s">
        <v>356</v>
      </c>
    </row>
    <row r="38" customFormat="false" ht="26.85" hidden="false" customHeight="false" outlineLevel="0" collapsed="false">
      <c r="A38" s="7"/>
      <c r="B38" s="7" t="s">
        <v>357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 t="s">
        <v>358</v>
      </c>
      <c r="S38" s="7" t="s">
        <v>359</v>
      </c>
      <c r="T38" s="7" t="s">
        <v>360</v>
      </c>
      <c r="U38" s="7" t="s">
        <v>361</v>
      </c>
    </row>
    <row r="39" customFormat="false" ht="15" hidden="false" customHeight="false" outlineLevel="0" collapsed="false">
      <c r="B39" s="20" t="s">
        <v>293</v>
      </c>
      <c r="R39" s="35" t="n">
        <f aca="false">SUMIF($B$5:$B$35,B39,$R$5:$R$35)</f>
        <v>157.142833706665</v>
      </c>
      <c r="S39" s="35" t="n">
        <f aca="false">SUMIF($B$5:$B$35,B39,$S$5:$S$35)</f>
        <v>157.142831</v>
      </c>
      <c r="T39" s="35" t="n">
        <f aca="false">R39-S39</f>
        <v>2.7066645600371E-006</v>
      </c>
    </row>
    <row r="40" customFormat="false" ht="15" hidden="false" customHeight="false" outlineLevel="0" collapsed="false">
      <c r="B40" s="20" t="s">
        <v>317</v>
      </c>
      <c r="R40" s="35" t="n">
        <f aca="false">SUMIF($B$5:$B$35,B40,$R$5:$R$35)</f>
        <v>53.878422911191</v>
      </c>
      <c r="S40" s="35" t="n">
        <f aca="false">SUMIF($B$5:$B$35,B40,$S$5:$S$35)</f>
        <v>53.878423</v>
      </c>
      <c r="T40" s="35" t="n">
        <f aca="false">R40-S40</f>
        <v>-8.88089815020976E-008</v>
      </c>
    </row>
    <row r="41" customFormat="false" ht="15" hidden="false" customHeight="false" outlineLevel="0" collapsed="false">
      <c r="B41" s="20" t="s">
        <v>323</v>
      </c>
      <c r="R41" s="35" t="n">
        <f aca="false">SUMIF($B$5:$B$35,B41,$R$5:$R$35)</f>
        <v>211.021257500003</v>
      </c>
      <c r="S41" s="35" t="n">
        <f aca="false">SUMIF($B$5:$B$35,B41,$S$5:$S$35)</f>
        <v>211.021254</v>
      </c>
      <c r="T41" s="35" t="n">
        <f aca="false">R41-S41</f>
        <v>3.50000300386455E-006</v>
      </c>
    </row>
    <row r="42" customFormat="false" ht="15" hidden="false" customHeight="false" outlineLevel="0" collapsed="false">
      <c r="B42" s="20" t="s">
        <v>333</v>
      </c>
      <c r="R42" s="35" t="n">
        <f aca="false">SUMIF($B$5:$B$35,B42,$R$5:$R$35)</f>
        <v>45.4845801533638</v>
      </c>
      <c r="S42" s="35" t="n">
        <f aca="false">SUMIF($B$5:$B$35,B42,$S$5:$S$35)</f>
        <v>45.484579</v>
      </c>
      <c r="T42" s="35" t="n">
        <f aca="false">R42-S42</f>
        <v>1.15336380446252E-006</v>
      </c>
    </row>
    <row r="43" customFormat="false" ht="15" hidden="false" customHeight="false" outlineLevel="0" collapsed="false">
      <c r="B43" s="20" t="s">
        <v>336</v>
      </c>
      <c r="R43" s="35" t="n">
        <f aca="false">SUMIF($B$5:$B$35,B43,$R$5:$R$35)</f>
        <v>256.505840081222</v>
      </c>
      <c r="S43" s="35" t="n">
        <f aca="false">SUMIF($B$5:$B$35,B43,$S$5:$S$35)</f>
        <v>256.505834</v>
      </c>
      <c r="T43" s="35" t="n">
        <f aca="false">R43-S43</f>
        <v>6.08122149969859E-006</v>
      </c>
    </row>
    <row r="44" customFormat="false" ht="15" hidden="false" customHeight="false" outlineLevel="0" collapsed="false">
      <c r="B44" s="20" t="s">
        <v>343</v>
      </c>
      <c r="R44" s="35" t="n">
        <f aca="false">SUMIF($B$5:$B$35,B44,$R$5:$R$35)</f>
        <v>34.6808374355419</v>
      </c>
      <c r="S44" s="35" t="n">
        <f aca="false">SUMIF($B$5:$B$35,B44,$S$5:$S$35)</f>
        <v>34.680837</v>
      </c>
      <c r="T44" s="35" t="n">
        <f aca="false">R44-S44</f>
        <v>4.35541871013356E-007</v>
      </c>
    </row>
    <row r="45" customFormat="false" ht="15" hidden="false" customHeight="false" outlineLevel="0" collapsed="false">
      <c r="B45" s="20" t="s">
        <v>346</v>
      </c>
      <c r="R45" s="35" t="n">
        <f aca="false">SUMIF($B$5:$B$35,B45,$R$5:$R$35)</f>
        <v>481.699182982857</v>
      </c>
      <c r="S45" s="35" t="n">
        <f aca="false">SUMIF($B$5:$B$35,B45,$S$5:$S$35)</f>
        <v>481.699178</v>
      </c>
      <c r="T45" s="35" t="n">
        <f aca="false">R45-S45</f>
        <v>4.98285675121224E-006</v>
      </c>
    </row>
    <row r="47" customFormat="false" ht="55.2" hidden="false" customHeight="false" outlineLevel="0" collapsed="false">
      <c r="B47" s="34" t="s">
        <v>362</v>
      </c>
      <c r="R47" s="35" t="n">
        <f aca="false">R39+R40+R42+R44+R45</f>
        <v>772.885857189618</v>
      </c>
      <c r="U47" s="36" t="s">
        <v>363</v>
      </c>
    </row>
    <row r="48" customFormat="false" ht="55.2" hidden="false" customHeight="false" outlineLevel="0" collapsed="false">
      <c r="B48" s="34" t="s">
        <v>364</v>
      </c>
      <c r="R48" s="35" t="n">
        <f aca="false">R41+R42+R44+R45</f>
        <v>772.885858071766</v>
      </c>
      <c r="U48" s="36" t="s">
        <v>363</v>
      </c>
    </row>
    <row r="49" customFormat="false" ht="55.2" hidden="false" customHeight="false" outlineLevel="0" collapsed="false">
      <c r="B49" s="34" t="s">
        <v>365</v>
      </c>
      <c r="R49" s="35" t="n">
        <f aca="false">R43+R44+R45</f>
        <v>772.88586049962</v>
      </c>
      <c r="U49" s="36" t="s">
        <v>363</v>
      </c>
    </row>
    <row r="51" customFormat="false" ht="15" hidden="false" customHeight="false" outlineLevel="0" collapsed="false">
      <c r="B51" s="34" t="s">
        <v>366</v>
      </c>
      <c r="R51" s="37" t="n">
        <f aca="false">MAX(ABS(MAX(T5:T35)),ABS(MIN(T5:T35)))</f>
        <v>4.22222217366652E-006</v>
      </c>
    </row>
    <row r="52" customFormat="false" ht="15" hidden="false" customHeight="false" outlineLevel="0" collapsed="false">
      <c r="B52" s="34" t="s">
        <v>367</v>
      </c>
      <c r="R52" s="35" t="n">
        <f aca="false">MIN(M5:M35)</f>
        <v>8.48322839358151</v>
      </c>
    </row>
  </sheetData>
  <mergeCells count="1"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368</v>
      </c>
    </row>
    <row r="2" customFormat="false" ht="60" hidden="false" customHeight="true" outlineLevel="0" collapsed="false">
      <c r="A2" s="6" t="s">
        <v>369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</row>
    <row r="5" customFormat="false" ht="15" hidden="false" customHeight="false" outlineLevel="0" collapsed="false">
      <c r="A5" s="8" t="s">
        <v>370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B6" s="38" t="s">
        <v>371</v>
      </c>
      <c r="C6" s="38" t="s">
        <v>372</v>
      </c>
    </row>
    <row r="7" customFormat="false" ht="15" hidden="false" customHeight="false" outlineLevel="0" collapsed="false">
      <c r="B7" s="18" t="n">
        <v>0</v>
      </c>
      <c r="C7" s="18" t="n">
        <v>1400</v>
      </c>
    </row>
    <row r="8" customFormat="false" ht="15" hidden="false" customHeight="false" outlineLevel="0" collapsed="false">
      <c r="B8" s="18" t="n">
        <v>2000</v>
      </c>
      <c r="C8" s="18" t="n">
        <v>1300</v>
      </c>
    </row>
    <row r="9" customFormat="false" ht="15" hidden="false" customHeight="false" outlineLevel="0" collapsed="false">
      <c r="B9" s="18" t="n">
        <v>4000</v>
      </c>
      <c r="C9" s="18" t="n">
        <v>1050</v>
      </c>
    </row>
    <row r="10" customFormat="false" ht="15" hidden="false" customHeight="false" outlineLevel="0" collapsed="false">
      <c r="B10" s="18" t="n">
        <v>5000</v>
      </c>
      <c r="C10" s="18" t="n">
        <v>850</v>
      </c>
    </row>
    <row r="11" customFormat="false" ht="15" hidden="false" customHeight="false" outlineLevel="0" collapsed="false">
      <c r="B11" s="18" t="n">
        <v>6000</v>
      </c>
      <c r="C11" s="18" t="n">
        <v>550</v>
      </c>
    </row>
    <row r="12" customFormat="false" ht="15" hidden="false" customHeight="false" outlineLevel="0" collapsed="false">
      <c r="B12" s="18" t="n">
        <v>7000</v>
      </c>
      <c r="C12" s="18" t="n">
        <v>150</v>
      </c>
    </row>
    <row r="14" customFormat="false" ht="26.85" hidden="false" customHeight="false" outlineLevel="0" collapsed="false">
      <c r="A14" s="9" t="n">
        <v>1</v>
      </c>
      <c r="B14" s="9" t="s">
        <v>373</v>
      </c>
      <c r="C14" s="9" t="s">
        <v>374</v>
      </c>
      <c r="D14" s="14" t="n">
        <v>1500</v>
      </c>
      <c r="E14" s="9" t="s">
        <v>375</v>
      </c>
      <c r="F14" s="9"/>
      <c r="G14" s="9"/>
      <c r="H14" s="9" t="s">
        <v>376</v>
      </c>
    </row>
    <row r="15" customFormat="false" ht="26.85" hidden="false" customHeight="false" outlineLevel="0" collapsed="false">
      <c r="A15" s="9" t="n">
        <v>2</v>
      </c>
      <c r="B15" s="9" t="s">
        <v>377</v>
      </c>
      <c r="C15" s="9" t="s">
        <v>68</v>
      </c>
      <c r="D15" s="39" t="n">
        <v>1400.683594</v>
      </c>
      <c r="E15" s="9" t="s">
        <v>375</v>
      </c>
      <c r="F15" s="9"/>
      <c r="G15" s="9" t="s">
        <v>378</v>
      </c>
      <c r="H15" s="9" t="s">
        <v>379</v>
      </c>
    </row>
    <row r="16" customFormat="false" ht="15" hidden="false" customHeight="false" outlineLevel="0" collapsed="false">
      <c r="A16" s="9" t="n">
        <v>3</v>
      </c>
      <c r="B16" s="9" t="s">
        <v>380</v>
      </c>
      <c r="C16" s="9" t="s">
        <v>381</v>
      </c>
      <c r="D16" s="17" t="n">
        <f aca="false">'5 Потери'!$G$32</f>
        <v>4499.1097</v>
      </c>
      <c r="E16" s="9" t="s">
        <v>87</v>
      </c>
      <c r="F16" s="9" t="s">
        <v>382</v>
      </c>
      <c r="G16" s="9"/>
      <c r="H16" s="9" t="s">
        <v>383</v>
      </c>
    </row>
    <row r="17" customFormat="false" ht="15" hidden="false" customHeight="false" outlineLevel="0" collapsed="false">
      <c r="A17" s="9" t="n">
        <v>4</v>
      </c>
      <c r="B17" s="9" t="s">
        <v>384</v>
      </c>
      <c r="C17" s="9" t="s">
        <v>385</v>
      </c>
      <c r="D17" s="16" t="n">
        <f aca="false">'6 Вентилятор'!$D$15/'6 Вентилятор'!$D$14</f>
        <v>0.933789062666667</v>
      </c>
      <c r="E17" s="9" t="s">
        <v>43</v>
      </c>
      <c r="F17" s="9" t="s">
        <v>386</v>
      </c>
      <c r="G17" s="9"/>
      <c r="H17" s="9"/>
    </row>
    <row r="18" customFormat="false" ht="15" hidden="false" customHeight="false" outlineLevel="0" collapsed="false">
      <c r="A18" s="9" t="n">
        <v>5</v>
      </c>
      <c r="B18" s="9" t="s">
        <v>387</v>
      </c>
      <c r="C18" s="9" t="s">
        <v>388</v>
      </c>
      <c r="D18" s="16" t="n">
        <f aca="false">'6 Вентилятор'!$D$16/'6 Вентилятор'!$D$17</f>
        <v>4818.12207903964</v>
      </c>
      <c r="E18" s="9" t="s">
        <v>87</v>
      </c>
      <c r="F18" s="9" t="s">
        <v>389</v>
      </c>
      <c r="G18" s="9" t="s">
        <v>390</v>
      </c>
      <c r="H18" s="9" t="s">
        <v>45</v>
      </c>
    </row>
    <row r="19" customFormat="false" ht="26.85" hidden="false" customHeight="false" outlineLevel="0" collapsed="false">
      <c r="A19" s="9" t="n">
        <v>6</v>
      </c>
      <c r="B19" s="9" t="s">
        <v>391</v>
      </c>
      <c r="C19" s="9" t="s">
        <v>392</v>
      </c>
      <c r="D19" s="16" t="n">
        <f aca="false">INDEX('6 Вентилятор'!$C$7:$C$12,MATCH('6 Вентилятор'!$D$18,'6 Вентилятор'!$B$7:$B$12,1))+('6 Вентилятор'!$D$18-INDEX('6 Вентилятор'!$B$7:$B$12,MATCH('6 Вентилятор'!$D$18,'6 Вентилятор'!$B$7:$B$12,1)))*(INDEX('6 Вентилятор'!$C$7:$C$12,MATCH('6 Вентилятор'!$D$18,'6 Вентилятор'!$B$7:$B$12,1)+1)-INDEX('6 Вентилятор'!$C$7:$C$12,MATCH('6 Вентилятор'!$D$18,'6 Вентилятор'!$B$7:$B$12,1)))/(INDEX('6 Вентилятор'!$B$7:$B$12,MATCH('6 Вентилятор'!$D$18,'6 Вентилятор'!$B$7:$B$12,1)+1)-INDEX('6 Вентилятор'!$B$7:$B$12,MATCH('6 Вентилятор'!$D$18,'6 Вентилятор'!$B$7:$B$12,1)))</f>
        <v>886.375584192071</v>
      </c>
      <c r="E19" s="9" t="s">
        <v>393</v>
      </c>
      <c r="F19" s="9" t="s">
        <v>394</v>
      </c>
      <c r="G19" s="9"/>
      <c r="H19" s="9"/>
    </row>
    <row r="20" customFormat="false" ht="15" hidden="false" customHeight="false" outlineLevel="0" collapsed="false">
      <c r="A20" s="9" t="n">
        <v>7</v>
      </c>
      <c r="B20" s="9" t="s">
        <v>395</v>
      </c>
      <c r="C20" s="9" t="s">
        <v>396</v>
      </c>
      <c r="D20" s="16" t="n">
        <f aca="false">'6 Вентилятор'!$D$19*'6 Вентилятор'!$D$17^2</f>
        <v>772.885839158899</v>
      </c>
      <c r="E20" s="9" t="s">
        <v>393</v>
      </c>
      <c r="F20" s="9" t="s">
        <v>397</v>
      </c>
      <c r="G20" s="9" t="s">
        <v>398</v>
      </c>
      <c r="H20" s="9" t="s">
        <v>45</v>
      </c>
    </row>
    <row r="21" customFormat="false" ht="15" hidden="false" customHeight="false" outlineLevel="0" collapsed="false">
      <c r="A21" s="8" t="s">
        <v>399</v>
      </c>
      <c r="B21" s="8"/>
      <c r="C21" s="8"/>
      <c r="D21" s="8"/>
      <c r="E21" s="8"/>
      <c r="F21" s="8"/>
      <c r="G21" s="8"/>
      <c r="H21" s="8"/>
    </row>
    <row r="22" customFormat="false" ht="26.85" hidden="false" customHeight="false" outlineLevel="0" collapsed="false">
      <c r="A22" s="9" t="n">
        <v>8</v>
      </c>
      <c r="B22" s="9" t="s">
        <v>400</v>
      </c>
      <c r="C22" s="9"/>
      <c r="D22" s="16" t="n">
        <f aca="false">'5 Потери'!$R$47-'6 Вентилятор'!$D$20</f>
        <v>1.80307192749751E-005</v>
      </c>
      <c r="E22" s="9" t="s">
        <v>393</v>
      </c>
      <c r="F22" s="9" t="s">
        <v>401</v>
      </c>
      <c r="G22" s="9" t="s">
        <v>402</v>
      </c>
      <c r="H22" s="9" t="s">
        <v>403</v>
      </c>
    </row>
    <row r="23" customFormat="false" ht="26.85" hidden="false" customHeight="false" outlineLevel="0" collapsed="false">
      <c r="A23" s="9" t="n">
        <v>9</v>
      </c>
      <c r="B23" s="9" t="s">
        <v>404</v>
      </c>
      <c r="C23" s="9"/>
      <c r="D23" s="16" t="n">
        <f aca="false">'5 Потери'!$R$48-'6 Вентилятор'!$D$20</f>
        <v>1.8912866721621E-005</v>
      </c>
      <c r="E23" s="9" t="s">
        <v>393</v>
      </c>
      <c r="F23" s="9"/>
      <c r="G23" s="9"/>
      <c r="H23" s="9"/>
    </row>
    <row r="24" customFormat="false" ht="26.85" hidden="false" customHeight="false" outlineLevel="0" collapsed="false">
      <c r="A24" s="9" t="n">
        <v>10</v>
      </c>
      <c r="B24" s="9" t="s">
        <v>405</v>
      </c>
      <c r="C24" s="9"/>
      <c r="D24" s="16" t="n">
        <f aca="false">'5 Потери'!$R$49-'6 Вентилятор'!$D$20</f>
        <v>2.1340721332308E-005</v>
      </c>
      <c r="E24" s="9" t="s">
        <v>393</v>
      </c>
      <c r="F24" s="9"/>
      <c r="G24" s="9"/>
      <c r="H24" s="9"/>
    </row>
    <row r="25" customFormat="false" ht="15" hidden="false" customHeight="false" outlineLevel="0" collapsed="false">
      <c r="A25" s="8" t="s">
        <v>406</v>
      </c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9" t="n">
        <v>11</v>
      </c>
      <c r="B26" s="9" t="s">
        <v>407</v>
      </c>
      <c r="C26" s="9" t="s">
        <v>408</v>
      </c>
      <c r="D26" s="15" t="n">
        <v>0.65</v>
      </c>
      <c r="E26" s="9" t="s">
        <v>43</v>
      </c>
      <c r="F26" s="9"/>
      <c r="G26" s="9" t="s">
        <v>409</v>
      </c>
      <c r="H26" s="9" t="s">
        <v>144</v>
      </c>
    </row>
    <row r="27" customFormat="false" ht="15" hidden="false" customHeight="false" outlineLevel="0" collapsed="false">
      <c r="A27" s="9" t="n">
        <v>12</v>
      </c>
      <c r="B27" s="9" t="s">
        <v>410</v>
      </c>
      <c r="C27" s="9" t="s">
        <v>411</v>
      </c>
      <c r="D27" s="16" t="n">
        <f aca="false">'6 Вентилятор'!$D$16/3600*'6 Вентилятор'!$D$20/'6 Вентилятор'!$D$26</f>
        <v>1486.02486151814</v>
      </c>
      <c r="E27" s="9" t="s">
        <v>412</v>
      </c>
      <c r="F27" s="9" t="s">
        <v>413</v>
      </c>
      <c r="G27" s="9"/>
      <c r="H27" s="9" t="s">
        <v>414</v>
      </c>
    </row>
    <row r="28" customFormat="false" ht="26.85" hidden="false" customHeight="false" outlineLevel="0" collapsed="false">
      <c r="A28" s="9" t="n">
        <v>13</v>
      </c>
      <c r="B28" s="9" t="s">
        <v>415</v>
      </c>
      <c r="C28" s="9" t="s">
        <v>416</v>
      </c>
      <c r="D28" s="14" t="n">
        <v>2200</v>
      </c>
      <c r="E28" s="9" t="s">
        <v>412</v>
      </c>
      <c r="F28" s="9"/>
      <c r="G28" s="9"/>
      <c r="H28" s="9" t="s">
        <v>417</v>
      </c>
    </row>
    <row r="29" customFormat="false" ht="26.85" hidden="false" customHeight="false" outlineLevel="0" collapsed="false">
      <c r="A29" s="9" t="n">
        <v>14</v>
      </c>
      <c r="B29" s="9" t="s">
        <v>418</v>
      </c>
      <c r="C29" s="9" t="s">
        <v>419</v>
      </c>
      <c r="D29" s="10" t="n">
        <v>0.867</v>
      </c>
      <c r="E29" s="9" t="s">
        <v>43</v>
      </c>
      <c r="F29" s="9"/>
      <c r="G29" s="9"/>
      <c r="H29" s="9" t="s">
        <v>420</v>
      </c>
    </row>
    <row r="30" customFormat="false" ht="15" hidden="false" customHeight="false" outlineLevel="0" collapsed="false">
      <c r="A30" s="9" t="n">
        <v>15</v>
      </c>
      <c r="B30" s="9" t="s">
        <v>421</v>
      </c>
      <c r="C30" s="9" t="s">
        <v>422</v>
      </c>
      <c r="D30" s="16" t="n">
        <f aca="false">'6 Вентилятор'!$D$27/'6 Вентилятор'!$D$28</f>
        <v>0.675465846144608</v>
      </c>
      <c r="E30" s="9" t="s">
        <v>43</v>
      </c>
      <c r="F30" s="9" t="s">
        <v>423</v>
      </c>
      <c r="G30" s="9"/>
      <c r="H30" s="9"/>
    </row>
    <row r="31" customFormat="false" ht="26.85" hidden="false" customHeight="false" outlineLevel="0" collapsed="false">
      <c r="A31" s="9" t="n">
        <v>16</v>
      </c>
      <c r="B31" s="9" t="s">
        <v>424</v>
      </c>
      <c r="C31" s="9" t="s">
        <v>425</v>
      </c>
      <c r="D31" s="15" t="n">
        <v>0.5</v>
      </c>
      <c r="E31" s="9" t="s">
        <v>43</v>
      </c>
      <c r="F31" s="9"/>
      <c r="G31" s="9" t="s">
        <v>426</v>
      </c>
      <c r="H31" s="9" t="s">
        <v>427</v>
      </c>
    </row>
    <row r="32" customFormat="false" ht="26.85" hidden="false" customHeight="false" outlineLevel="0" collapsed="false">
      <c r="A32" s="9" t="n">
        <v>17</v>
      </c>
      <c r="B32" s="9" t="s">
        <v>428</v>
      </c>
      <c r="C32" s="9" t="s">
        <v>429</v>
      </c>
      <c r="D32" s="16" t="n">
        <f aca="false">'6 Вентилятор'!$D$30/('6 Вентилятор'!$D$30+(1/'6 Вентилятор'!$D$29-1)*('6 Вентилятор'!$D$31+'6 Вентилятор'!$D$30^2)/(1+'6 Вентилятор'!$D$31))</f>
        <v>0.873529615744956</v>
      </c>
      <c r="E32" s="9" t="s">
        <v>43</v>
      </c>
      <c r="F32" s="9" t="s">
        <v>430</v>
      </c>
      <c r="G32" s="9" t="s">
        <v>431</v>
      </c>
      <c r="H32" s="9" t="s">
        <v>432</v>
      </c>
    </row>
    <row r="33" customFormat="false" ht="39.55" hidden="false" customHeight="false" outlineLevel="0" collapsed="false">
      <c r="A33" s="9" t="n">
        <v>18</v>
      </c>
      <c r="B33" s="9" t="s">
        <v>433</v>
      </c>
      <c r="C33" s="9" t="s">
        <v>434</v>
      </c>
      <c r="D33" s="16" t="n">
        <f aca="false">IF('6 Вентилятор'!$D$30&lt;=0.016,0.35,IF('6 Вентилятор'!$D$30&gt;=1,0.95,INDEX('6 Вентилятор'!$C$36:$I$36,MATCH('6 Вентилятор'!$D$30,'6 Вентилятор'!$C$35:$I$35,1))+('6 Вентилятор'!$D$30-INDEX('6 Вентилятор'!$C$35:$I$35,MATCH('6 Вентилятор'!$D$30,'6 Вентилятор'!$C$35:$I$35,1)))*(INDEX('6 Вентилятор'!$C$36:$I$36,MATCH('6 Вентилятор'!$D$30,'6 Вентилятор'!$C$35:$I$35,1)+1)-INDEX('6 Вентилятор'!$C$36:$I$36,MATCH('6 Вентилятор'!$D$30,'6 Вентилятор'!$C$35:$I$35,1)))/(INDEX('6 Вентилятор'!$C$35:$I$35,MATCH('6 Вентилятор'!$D$30,'6 Вентилятор'!$C$35:$I$35,1)+1)-INDEX('6 Вентилятор'!$C$35:$I$35,MATCH('6 Вентилятор'!$D$30,'6 Вентилятор'!$C$35:$I$35,1)))))</f>
        <v>0.934037267691569</v>
      </c>
      <c r="E33" s="9" t="s">
        <v>43</v>
      </c>
      <c r="F33" s="9" t="s">
        <v>435</v>
      </c>
      <c r="G33" s="9" t="s">
        <v>436</v>
      </c>
      <c r="H33" s="9" t="s">
        <v>144</v>
      </c>
    </row>
    <row r="35" customFormat="false" ht="15" hidden="false" customHeight="false" outlineLevel="0" collapsed="false">
      <c r="B35" s="34" t="s">
        <v>437</v>
      </c>
      <c r="C35" s="40" t="n">
        <v>0.016</v>
      </c>
      <c r="D35" s="40" t="n">
        <v>0.125</v>
      </c>
      <c r="E35" s="40" t="n">
        <v>0.25</v>
      </c>
      <c r="F35" s="40" t="n">
        <v>0.42</v>
      </c>
      <c r="G35" s="40" t="n">
        <v>0.5</v>
      </c>
      <c r="H35" s="40" t="n">
        <v>0.75</v>
      </c>
      <c r="I35" s="40" t="n">
        <v>1</v>
      </c>
    </row>
    <row r="36" customFormat="false" ht="15" hidden="false" customHeight="false" outlineLevel="0" collapsed="false">
      <c r="C36" s="40" t="n">
        <v>0.35</v>
      </c>
      <c r="D36" s="40" t="n">
        <v>0.8</v>
      </c>
      <c r="E36" s="40" t="n">
        <v>0.88</v>
      </c>
      <c r="F36" s="40" t="n">
        <v>0.91</v>
      </c>
      <c r="G36" s="40" t="n">
        <v>0.92</v>
      </c>
      <c r="H36" s="40" t="n">
        <v>0.94</v>
      </c>
      <c r="I36" s="40" t="n">
        <v>0.95</v>
      </c>
    </row>
    <row r="38" customFormat="false" ht="15" hidden="false" customHeight="false" outlineLevel="0" collapsed="false">
      <c r="A38" s="9" t="n">
        <v>19</v>
      </c>
      <c r="B38" s="9" t="s">
        <v>438</v>
      </c>
      <c r="C38" s="9" t="s">
        <v>439</v>
      </c>
      <c r="D38" s="16" t="n">
        <f aca="false">'6 Вентилятор'!$D$27/('6 Вентилятор'!$D$32*'6 Вентилятор'!$D$33)</f>
        <v>1821.31152978597</v>
      </c>
      <c r="E38" s="9" t="s">
        <v>412</v>
      </c>
      <c r="F38" s="9" t="s">
        <v>440</v>
      </c>
      <c r="G38" s="9" t="s">
        <v>441</v>
      </c>
      <c r="H38" s="9"/>
    </row>
  </sheetData>
  <mergeCells count="4">
    <mergeCell ref="A2:H2"/>
    <mergeCell ref="A5:H5"/>
    <mergeCell ref="A21:H21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442</v>
      </c>
    </row>
    <row r="2" customFormat="false" ht="60" hidden="false" customHeight="true" outlineLevel="0" collapsed="false">
      <c r="A2" s="6" t="s">
        <v>443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</row>
    <row r="5" customFormat="false" ht="15" hidden="false" customHeight="false" outlineLevel="0" collapsed="false">
      <c r="A5" s="9" t="n">
        <v>1</v>
      </c>
      <c r="B5" s="9" t="s">
        <v>444</v>
      </c>
      <c r="C5" s="9" t="s">
        <v>445</v>
      </c>
      <c r="D5" s="16" t="n">
        <f aca="false">'1 Исходные'!$D$31-'1 Исходные'!$D$32</f>
        <v>19.7</v>
      </c>
      <c r="E5" s="9" t="s">
        <v>131</v>
      </c>
      <c r="F5" s="9" t="s">
        <v>446</v>
      </c>
      <c r="G5" s="9"/>
      <c r="H5" s="9" t="s">
        <v>447</v>
      </c>
    </row>
    <row r="6" customFormat="false" ht="15" hidden="false" customHeight="false" outlineLevel="0" collapsed="false">
      <c r="A6" s="8" t="s">
        <v>448</v>
      </c>
      <c r="B6" s="8"/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9" t="n">
        <v>2</v>
      </c>
      <c r="B7" s="9" t="s">
        <v>449</v>
      </c>
      <c r="C7" s="9" t="s">
        <v>223</v>
      </c>
      <c r="D7" s="16" t="n">
        <f aca="false">'3 СП 60'!$D$6+'3 СП 60'!$D$11</f>
        <v>12601.4486494975</v>
      </c>
      <c r="E7" s="9" t="s">
        <v>87</v>
      </c>
      <c r="F7" s="9" t="s">
        <v>450</v>
      </c>
      <c r="G7" s="9" t="s">
        <v>451</v>
      </c>
      <c r="H7" s="9" t="s">
        <v>452</v>
      </c>
    </row>
    <row r="8" customFormat="false" ht="26.85" hidden="false" customHeight="false" outlineLevel="0" collapsed="false">
      <c r="A8" s="9" t="n">
        <v>3</v>
      </c>
      <c r="B8" s="9" t="s">
        <v>453</v>
      </c>
      <c r="C8" s="9" t="s">
        <v>454</v>
      </c>
      <c r="D8" s="16" t="n">
        <f aca="false">'1 Исходные'!$D$6*'1 Исходные'!$D$8*'7 Тепло'!$D$7/3600*'7 Тепло'!$D$5</f>
        <v>83.1632603623586</v>
      </c>
      <c r="E8" s="9" t="s">
        <v>455</v>
      </c>
      <c r="F8" s="9" t="s">
        <v>456</v>
      </c>
      <c r="G8" s="9" t="s">
        <v>457</v>
      </c>
      <c r="H8" s="9" t="s">
        <v>458</v>
      </c>
    </row>
    <row r="9" customFormat="false" ht="15" hidden="false" customHeight="false" outlineLevel="0" collapsed="false">
      <c r="A9" s="9" t="n">
        <v>4</v>
      </c>
      <c r="B9" s="9" t="s">
        <v>459</v>
      </c>
      <c r="C9" s="9" t="s">
        <v>460</v>
      </c>
      <c r="D9" s="16" t="n">
        <f aca="false">'7 Тепло'!$D$8*'1 Исходные'!$D$34</f>
        <v>665.306082898869</v>
      </c>
      <c r="E9" s="9" t="s">
        <v>461</v>
      </c>
      <c r="F9" s="9" t="s">
        <v>462</v>
      </c>
      <c r="G9" s="9" t="s">
        <v>463</v>
      </c>
      <c r="H9" s="9"/>
    </row>
    <row r="10" customFormat="false" ht="26.85" hidden="false" customHeight="false" outlineLevel="0" collapsed="false">
      <c r="A10" s="9" t="n">
        <v>5</v>
      </c>
      <c r="B10" s="9" t="s">
        <v>464</v>
      </c>
      <c r="C10" s="9" t="s">
        <v>465</v>
      </c>
      <c r="D10" s="16" t="n">
        <f aca="false">'7 Тепло'!$D$9*'1 Исходные'!$D$33/1000</f>
        <v>134.391828745572</v>
      </c>
      <c r="E10" s="9" t="s">
        <v>466</v>
      </c>
      <c r="F10" s="9" t="s">
        <v>467</v>
      </c>
      <c r="G10" s="9"/>
      <c r="H10" s="9"/>
    </row>
    <row r="11" customFormat="false" ht="15" hidden="false" customHeight="false" outlineLevel="0" collapsed="false">
      <c r="A11" s="9" t="n">
        <v>6</v>
      </c>
      <c r="B11" s="9" t="s">
        <v>468</v>
      </c>
      <c r="C11" s="9"/>
      <c r="D11" s="17" t="n">
        <f aca="false">'7 Тепло'!$D$10/1.163</f>
        <v>115.556172610122</v>
      </c>
      <c r="E11" s="9" t="s">
        <v>469</v>
      </c>
      <c r="F11" s="9" t="s">
        <v>470</v>
      </c>
      <c r="G11" s="9" t="s">
        <v>471</v>
      </c>
      <c r="H11" s="9"/>
    </row>
    <row r="12" customFormat="false" ht="15" hidden="false" customHeight="false" outlineLevel="0" collapsed="false">
      <c r="A12" s="8" t="s">
        <v>472</v>
      </c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9" t="n">
        <v>7</v>
      </c>
      <c r="B13" s="9" t="s">
        <v>473</v>
      </c>
      <c r="C13" s="9" t="s">
        <v>474</v>
      </c>
      <c r="D13" s="16" t="n">
        <f aca="false">'1 Исходные'!$D$6*'1 Исходные'!$D$8*'3 СП 60'!$D$15/3600*'7 Тепло'!$D$5*'1 Исходные'!$D$34</f>
        <v>237.582</v>
      </c>
      <c r="E13" s="9" t="s">
        <v>461</v>
      </c>
      <c r="F13" s="9"/>
      <c r="G13" s="9" t="s">
        <v>475</v>
      </c>
      <c r="H13" s="9"/>
    </row>
  </sheetData>
  <mergeCells count="3">
    <mergeCell ref="A2:H2"/>
    <mergeCell ref="A6:H6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8"/>
  </cols>
  <sheetData>
    <row r="1" customFormat="false" ht="16.15" hidden="false" customHeight="false" outlineLevel="0" collapsed="false">
      <c r="A1" s="5" t="s">
        <v>476</v>
      </c>
    </row>
    <row r="2" customFormat="false" ht="15" hidden="false" customHeight="false" outlineLevel="0" collapsed="false">
      <c r="A2" s="41" t="s">
        <v>477</v>
      </c>
    </row>
    <row r="4" customFormat="false" ht="26.85" hidden="false" customHeight="false" outlineLevel="0" collapsed="false">
      <c r="A4" s="7" t="s">
        <v>32</v>
      </c>
      <c r="B4" s="7" t="s">
        <v>478</v>
      </c>
      <c r="C4" s="7" t="s">
        <v>479</v>
      </c>
      <c r="D4" s="7" t="s">
        <v>480</v>
      </c>
      <c r="E4" s="7" t="s">
        <v>481</v>
      </c>
    </row>
    <row r="5" customFormat="false" ht="15" hidden="false" customHeight="false" outlineLevel="0" collapsed="false">
      <c r="A5" s="20" t="s">
        <v>482</v>
      </c>
      <c r="B5" s="42" t="n">
        <f aca="false">'2 Выделения'!$D$6</f>
        <v>9.7765625</v>
      </c>
      <c r="C5" s="43" t="n">
        <v>9.7765625</v>
      </c>
      <c r="D5" s="44" t="n">
        <f aca="false">ABS(B5-C5)/ABS(C5)</f>
        <v>0</v>
      </c>
      <c r="E5" s="19" t="str">
        <f aca="false">IF(D5&lt;0.001,"ОК","ПРОВЕРИТЬ")</f>
        <v>ОК</v>
      </c>
    </row>
    <row r="6" customFormat="false" ht="15" hidden="false" customHeight="false" outlineLevel="0" collapsed="false">
      <c r="A6" s="20" t="s">
        <v>483</v>
      </c>
      <c r="B6" s="42" t="n">
        <f aca="false">'2 Выделения'!$D$7</f>
        <v>2.1997265625</v>
      </c>
      <c r="C6" s="43" t="n">
        <v>2.1997265625</v>
      </c>
      <c r="D6" s="44" t="n">
        <f aca="false">ABS(B6-C6)/ABS(C6)</f>
        <v>0</v>
      </c>
      <c r="E6" s="19" t="str">
        <f aca="false">IF(D6&lt;0.001,"ОК","ПРОВЕРИТЬ")</f>
        <v>ОК</v>
      </c>
    </row>
    <row r="7" customFormat="false" ht="15" hidden="false" customHeight="false" outlineLevel="0" collapsed="false">
      <c r="A7" s="20" t="s">
        <v>484</v>
      </c>
      <c r="B7" s="42" t="n">
        <f aca="false">'3 СП 60'!$D$10</f>
        <v>12601.4486494975</v>
      </c>
      <c r="C7" s="43" t="n">
        <v>12601.4486494975</v>
      </c>
      <c r="D7" s="44" t="n">
        <f aca="false">ABS(B7-C7)/ABS(C7)</f>
        <v>0</v>
      </c>
      <c r="E7" s="19" t="str">
        <f aca="false">IF(D7&lt;0.001,"ОК","ПРОВЕРИТЬ")</f>
        <v>ОК</v>
      </c>
    </row>
    <row r="8" customFormat="false" ht="15" hidden="false" customHeight="false" outlineLevel="0" collapsed="false">
      <c r="A8" s="20" t="s">
        <v>485</v>
      </c>
      <c r="B8" s="42" t="n">
        <f aca="false">'3 СП 60'!$D$11</f>
        <v>8101.44864949748</v>
      </c>
      <c r="C8" s="43" t="n">
        <v>8101.44864949748</v>
      </c>
      <c r="D8" s="44" t="n">
        <f aca="false">ABS(B8-C8)/ABS(C8)</f>
        <v>0</v>
      </c>
      <c r="E8" s="19" t="str">
        <f aca="false">IF(D8&lt;0.001,"ОК","ПРОВЕРИТЬ")</f>
        <v>ОК</v>
      </c>
    </row>
    <row r="9" customFormat="false" ht="15" hidden="false" customHeight="false" outlineLevel="0" collapsed="false">
      <c r="A9" s="20" t="s">
        <v>486</v>
      </c>
      <c r="B9" s="42" t="n">
        <f aca="false">'6 Вентилятор'!$D$16</f>
        <v>4499.1097</v>
      </c>
      <c r="C9" s="43" t="n">
        <v>4499.10965483889</v>
      </c>
      <c r="D9" s="44" t="n">
        <f aca="false">ABS(B9-C9)/ABS(C9)</f>
        <v>1.00377875222722E-008</v>
      </c>
      <c r="E9" s="19" t="str">
        <f aca="false">IF(D9&lt;0.001,"ОК","ПРОВЕРИТЬ")</f>
        <v>ОК</v>
      </c>
    </row>
    <row r="10" customFormat="false" ht="15" hidden="false" customHeight="false" outlineLevel="0" collapsed="false">
      <c r="A10" s="20" t="s">
        <v>487</v>
      </c>
      <c r="B10" s="42" t="n">
        <f aca="false">'6 Вентилятор'!$D$20</f>
        <v>772.885839158899</v>
      </c>
      <c r="C10" s="43" t="n">
        <v>772.885847167222</v>
      </c>
      <c r="D10" s="44" t="n">
        <f aca="false">ABS(B10-C10)/ABS(C10)</f>
        <v>1.03615859136643E-008</v>
      </c>
      <c r="E10" s="19" t="str">
        <f aca="false">IF(D10&lt;0.001,"ОК","ПРОВЕРИТЬ")</f>
        <v>ОК</v>
      </c>
    </row>
    <row r="11" customFormat="false" ht="15" hidden="false" customHeight="false" outlineLevel="0" collapsed="false">
      <c r="A11" s="20" t="s">
        <v>488</v>
      </c>
      <c r="B11" s="42" t="n">
        <f aca="false">'6 Вентилятор'!$D$27</f>
        <v>1486.02486151814</v>
      </c>
      <c r="C11" s="43" t="n">
        <v>1486.02486199931</v>
      </c>
      <c r="D11" s="44" t="n">
        <f aca="false">ABS(B11-C11)/ABS(C11)</f>
        <v>3.23798719069059E-010</v>
      </c>
      <c r="E11" s="19" t="str">
        <f aca="false">IF(D11&lt;0.001,"ОК","ПРОВЕРИТЬ")</f>
        <v>ОК</v>
      </c>
    </row>
    <row r="12" customFormat="false" ht="15" hidden="false" customHeight="false" outlineLevel="0" collapsed="false">
      <c r="A12" s="20" t="s">
        <v>489</v>
      </c>
      <c r="B12" s="42" t="n">
        <f aca="false">'6 Вентилятор'!$D$32</f>
        <v>0.873529615744956</v>
      </c>
      <c r="C12" s="43" t="n">
        <v>0.873529615746593</v>
      </c>
      <c r="D12" s="44" t="n">
        <f aca="false">ABS(B12-C12)/ABS(C12)</f>
        <v>1.87352521436973E-012</v>
      </c>
      <c r="E12" s="19" t="str">
        <f aca="false">IF(D12&lt;0.001,"ОК","ПРОВЕРИТЬ")</f>
        <v>ОК</v>
      </c>
    </row>
    <row r="13" customFormat="false" ht="15" hidden="false" customHeight="false" outlineLevel="0" collapsed="false">
      <c r="A13" s="20" t="s">
        <v>490</v>
      </c>
      <c r="B13" s="42" t="n">
        <f aca="false">'6 Вентилятор'!$D$38</f>
        <v>1821.31152978597</v>
      </c>
      <c r="C13" s="43" t="n">
        <v>1821.31153033818</v>
      </c>
      <c r="D13" s="44" t="n">
        <f aca="false">ABS(B13-C13)/ABS(C13)</f>
        <v>3.03192443706331E-010</v>
      </c>
      <c r="E13" s="19" t="str">
        <f aca="false">IF(D13&lt;0.001,"ОК","ПРОВЕРИТЬ")</f>
        <v>ОК</v>
      </c>
    </row>
    <row r="14" customFormat="false" ht="15" hidden="false" customHeight="false" outlineLevel="0" collapsed="false">
      <c r="A14" s="20" t="s">
        <v>491</v>
      </c>
      <c r="B14" s="42" t="n">
        <f aca="false">'7 Тепло'!$D$9</f>
        <v>665.306082898869</v>
      </c>
      <c r="C14" s="43" t="n">
        <v>665</v>
      </c>
      <c r="D14" s="44" t="n">
        <f aca="false">ABS(B14-C14)/ABS(C14)</f>
        <v>0.000460275035892924</v>
      </c>
      <c r="E14" s="19" t="str">
        <f aca="false">IF(D14&lt;0.001,"ОК","ПРОВЕРИТЬ")</f>
        <v>ОК</v>
      </c>
    </row>
    <row r="15" customFormat="false" ht="15" hidden="false" customHeight="false" outlineLevel="0" collapsed="false">
      <c r="A15" s="41" t="s">
        <v>492</v>
      </c>
    </row>
    <row r="16" customFormat="false" ht="15" hidden="false" customHeight="false" outlineLevel="0" collapsed="false">
      <c r="A16" s="20" t="s">
        <v>493</v>
      </c>
      <c r="B16" s="45" t="n">
        <f aca="false">'5 Потери'!$R$51</f>
        <v>4.22222217366652E-006</v>
      </c>
      <c r="C16" s="20" t="s">
        <v>494</v>
      </c>
      <c r="E16" s="19" t="str">
        <f aca="false">IF(ABS(B16)&lt;=0.001,"ОК","ПРОВЕРИТЬ")</f>
        <v>ОК</v>
      </c>
    </row>
    <row r="17" customFormat="false" ht="15" hidden="false" customHeight="false" outlineLevel="0" collapsed="false">
      <c r="A17" s="20" t="s">
        <v>495</v>
      </c>
      <c r="B17" s="45" t="n">
        <f aca="false">'6 Вентилятор'!$D$22</f>
        <v>1.80307192749751E-005</v>
      </c>
      <c r="C17" s="20" t="s">
        <v>496</v>
      </c>
      <c r="E17" s="19" t="str">
        <f aca="false">IF(ABS(B17)&lt;=0.01,"ОК","ПРОВЕРИТЬ")</f>
        <v>ОК</v>
      </c>
    </row>
    <row r="18" customFormat="false" ht="15" hidden="false" customHeight="false" outlineLevel="0" collapsed="false">
      <c r="A18" s="20" t="s">
        <v>497</v>
      </c>
      <c r="B18" s="45" t="n">
        <f aca="false">'6 Вентилятор'!$D$23</f>
        <v>1.8912866721621E-005</v>
      </c>
      <c r="C18" s="20" t="s">
        <v>496</v>
      </c>
      <c r="E18" s="19" t="str">
        <f aca="false">IF(ABS(B18)&lt;=0.01,"ОК","ПРОВЕРИТЬ")</f>
        <v>ОК</v>
      </c>
    </row>
    <row r="19" customFormat="false" ht="15" hidden="false" customHeight="false" outlineLevel="0" collapsed="false">
      <c r="A19" s="20" t="s">
        <v>498</v>
      </c>
      <c r="B19" s="45" t="n">
        <f aca="false">'6 Вентилятор'!$D$24</f>
        <v>2.1340721332308E-005</v>
      </c>
      <c r="C19" s="20" t="s">
        <v>496</v>
      </c>
      <c r="E19" s="19" t="str">
        <f aca="false">IF(ABS(B19)&lt;=0.01,"ОК","ПРОВЕРИТЬ")</f>
        <v>ОК</v>
      </c>
    </row>
    <row r="20" customFormat="false" ht="15" hidden="false" customHeight="false" outlineLevel="0" collapsed="false">
      <c r="A20" s="20" t="s">
        <v>499</v>
      </c>
      <c r="B20" s="45" t="n">
        <f aca="false">'2 Выделения'!$D$13</f>
        <v>0</v>
      </c>
      <c r="C20" s="20" t="s">
        <v>500</v>
      </c>
      <c r="E20" s="19" t="str">
        <f aca="false">IF(ABS(B20)&lt;=0.000000001,"ОК","ПРОВЕРИТЬ")</f>
        <v>ОК</v>
      </c>
    </row>
    <row r="21" customFormat="false" ht="15" hidden="false" customHeight="false" outlineLevel="0" collapsed="false">
      <c r="A21" s="20" t="s">
        <v>501</v>
      </c>
      <c r="B21" s="45" t="n">
        <f aca="false">'3 СП 60'!$D$13-'1 Исходные'!$D$25</f>
        <v>0</v>
      </c>
      <c r="C21" s="20" t="s">
        <v>500</v>
      </c>
      <c r="E21" s="19" t="str">
        <f aca="false">IF(ABS(B21)&lt;=0.000000001,"ОК","ПРОВЕРИТЬ")</f>
        <v>ОК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4"/>
  </cols>
  <sheetData>
    <row r="1" customFormat="false" ht="16.15" hidden="false" customHeight="false" outlineLevel="0" collapsed="false">
      <c r="A1" s="5" t="s">
        <v>502</v>
      </c>
    </row>
    <row r="2" customFormat="false" ht="45" hidden="false" customHeight="true" outlineLevel="0" collapsed="false">
      <c r="A2" s="6" t="s">
        <v>503</v>
      </c>
      <c r="B2" s="6"/>
      <c r="C2" s="6"/>
      <c r="D2" s="6"/>
      <c r="E2" s="6"/>
      <c r="F2" s="6"/>
      <c r="G2" s="6"/>
      <c r="H2" s="6"/>
      <c r="I2" s="6"/>
    </row>
    <row r="4" customFormat="false" ht="15" hidden="false" customHeight="false" outlineLevel="0" collapsed="false">
      <c r="A4" s="34" t="s">
        <v>504</v>
      </c>
    </row>
    <row r="5" customFormat="false" ht="26.85" hidden="false" customHeight="false" outlineLevel="0" collapsed="false">
      <c r="A5" s="7" t="s">
        <v>505</v>
      </c>
      <c r="B5" s="7" t="s">
        <v>506</v>
      </c>
      <c r="C5" s="7" t="s">
        <v>507</v>
      </c>
      <c r="D5" s="7" t="s">
        <v>508</v>
      </c>
      <c r="E5" s="7" t="s">
        <v>509</v>
      </c>
      <c r="F5" s="7" t="s">
        <v>510</v>
      </c>
      <c r="G5" s="7" t="s">
        <v>511</v>
      </c>
      <c r="H5" s="7" t="s">
        <v>512</v>
      </c>
    </row>
    <row r="6" customFormat="false" ht="15" hidden="false" customHeight="false" outlineLevel="0" collapsed="false">
      <c r="A6" s="21" t="s">
        <v>513</v>
      </c>
      <c r="B6" s="21" t="n">
        <v>14.57</v>
      </c>
      <c r="C6" s="21" t="n">
        <v>665</v>
      </c>
      <c r="D6" s="21" t="n">
        <v>4497</v>
      </c>
      <c r="E6" s="21" t="s">
        <v>514</v>
      </c>
      <c r="F6" s="21" t="s">
        <v>514</v>
      </c>
      <c r="G6" s="21" t="n">
        <v>0.064</v>
      </c>
      <c r="H6" s="21" t="n">
        <v>0.088</v>
      </c>
    </row>
    <row r="7" customFormat="false" ht="15" hidden="false" customHeight="false" outlineLevel="0" collapsed="false">
      <c r="A7" s="21" t="s">
        <v>515</v>
      </c>
      <c r="B7" s="21" t="n">
        <v>5.25</v>
      </c>
      <c r="C7" s="21" t="n">
        <v>527</v>
      </c>
      <c r="D7" s="21" t="n">
        <v>1887</v>
      </c>
      <c r="E7" s="21" t="s">
        <v>516</v>
      </c>
      <c r="F7" s="21" t="s">
        <v>517</v>
      </c>
      <c r="G7" s="21" t="n">
        <v>0.085</v>
      </c>
      <c r="H7" s="21" t="n">
        <v>0.111</v>
      </c>
    </row>
    <row r="8" customFormat="false" ht="15" hidden="false" customHeight="false" outlineLevel="0" collapsed="false">
      <c r="A8" s="21" t="s">
        <v>518</v>
      </c>
      <c r="B8" s="21" t="n">
        <v>4.92</v>
      </c>
      <c r="C8" s="21" t="n">
        <v>519</v>
      </c>
      <c r="D8" s="21" t="n">
        <v>1727</v>
      </c>
      <c r="E8" s="21" t="s">
        <v>519</v>
      </c>
      <c r="F8" s="21" t="s">
        <v>520</v>
      </c>
      <c r="G8" s="21" t="n">
        <v>0.087</v>
      </c>
      <c r="H8" s="21" t="n">
        <v>0.115</v>
      </c>
    </row>
    <row r="9" customFormat="false" ht="15" hidden="false" customHeight="false" outlineLevel="0" collapsed="false">
      <c r="A9" s="21" t="s">
        <v>521</v>
      </c>
      <c r="B9" s="21" t="n">
        <v>4.92</v>
      </c>
      <c r="C9" s="21" t="n">
        <v>398</v>
      </c>
      <c r="D9" s="21" t="n">
        <v>1727</v>
      </c>
      <c r="E9" s="21" t="s">
        <v>519</v>
      </c>
      <c r="F9" s="21" t="s">
        <v>520</v>
      </c>
      <c r="G9" s="21" t="n">
        <v>0.107</v>
      </c>
      <c r="H9" s="21" t="n">
        <v>0.143</v>
      </c>
    </row>
    <row r="11" customFormat="false" ht="15" hidden="false" customHeight="false" outlineLevel="0" collapsed="false">
      <c r="A11" s="34" t="s">
        <v>522</v>
      </c>
    </row>
    <row r="12" customFormat="false" ht="39.55" hidden="false" customHeight="false" outlineLevel="0" collapsed="false">
      <c r="A12" s="7" t="s">
        <v>523</v>
      </c>
      <c r="B12" s="7" t="s">
        <v>524</v>
      </c>
      <c r="C12" s="7" t="s">
        <v>507</v>
      </c>
      <c r="D12" s="7" t="s">
        <v>525</v>
      </c>
      <c r="E12" s="7" t="s">
        <v>526</v>
      </c>
      <c r="F12" s="7" t="s">
        <v>527</v>
      </c>
      <c r="G12" s="7" t="s">
        <v>528</v>
      </c>
      <c r="H12" s="7"/>
    </row>
    <row r="13" customFormat="false" ht="15" hidden="false" customHeight="false" outlineLevel="0" collapsed="false">
      <c r="A13" s="21" t="s">
        <v>529</v>
      </c>
      <c r="B13" s="21" t="n">
        <v>10847</v>
      </c>
      <c r="C13" s="21" t="n">
        <v>660</v>
      </c>
      <c r="D13" s="21" t="n">
        <v>28.74</v>
      </c>
      <c r="E13" s="21" t="n">
        <v>0.069</v>
      </c>
      <c r="F13" s="21" t="n">
        <v>0.096</v>
      </c>
      <c r="G13" s="21" t="s">
        <v>514</v>
      </c>
      <c r="H13" s="21"/>
    </row>
    <row r="14" customFormat="false" ht="15" hidden="false" customHeight="false" outlineLevel="0" collapsed="false">
      <c r="A14" s="21" t="s">
        <v>530</v>
      </c>
      <c r="B14" s="21" t="n">
        <v>5344</v>
      </c>
      <c r="C14" s="21" t="n">
        <v>369</v>
      </c>
      <c r="D14" s="21" t="n">
        <v>9.39</v>
      </c>
      <c r="E14" s="21" t="n">
        <v>0.106</v>
      </c>
      <c r="F14" s="21" t="n">
        <v>0.144</v>
      </c>
      <c r="G14" s="21" t="s">
        <v>514</v>
      </c>
      <c r="H14" s="21"/>
    </row>
    <row r="15" customFormat="false" ht="15" hidden="false" customHeight="false" outlineLevel="0" collapsed="false">
      <c r="A15" s="21" t="s">
        <v>531</v>
      </c>
      <c r="B15" s="21" t="n">
        <v>7539</v>
      </c>
      <c r="C15" s="21" t="n">
        <v>485</v>
      </c>
      <c r="D15" s="21" t="n">
        <v>6.12</v>
      </c>
      <c r="E15" s="21" t="n">
        <v>0.086</v>
      </c>
      <c r="F15" s="21" t="n">
        <v>0.112</v>
      </c>
      <c r="G15" s="21" t="s">
        <v>514</v>
      </c>
      <c r="H15" s="21"/>
    </row>
    <row r="16" customFormat="false" ht="15" hidden="false" customHeight="false" outlineLevel="0" collapsed="false">
      <c r="A16" s="21" t="s">
        <v>532</v>
      </c>
      <c r="B16" s="21" t="n">
        <v>6920</v>
      </c>
      <c r="C16" s="21" t="n">
        <v>453</v>
      </c>
      <c r="D16" s="21" t="n">
        <v>6.56</v>
      </c>
      <c r="E16" s="21" t="n">
        <v>0.089</v>
      </c>
      <c r="F16" s="21" t="n">
        <v>0.115</v>
      </c>
      <c r="G16" s="21" t="s">
        <v>514</v>
      </c>
      <c r="H16" s="21"/>
    </row>
    <row r="17" customFormat="false" ht="15" hidden="false" customHeight="false" outlineLevel="0" collapsed="false">
      <c r="A17" s="21" t="s">
        <v>533</v>
      </c>
      <c r="B17" s="21" t="n">
        <v>4190</v>
      </c>
      <c r="C17" s="21" t="n">
        <v>308</v>
      </c>
      <c r="D17" s="21" t="n">
        <v>6</v>
      </c>
      <c r="E17" s="21" t="n">
        <v>0.115</v>
      </c>
      <c r="F17" s="21" t="n">
        <v>0.154</v>
      </c>
      <c r="G17" s="21" t="s">
        <v>514</v>
      </c>
      <c r="H17" s="21"/>
    </row>
    <row r="18" customFormat="false" ht="15" hidden="false" customHeight="false" outlineLevel="0" collapsed="false">
      <c r="A18" s="21" t="s">
        <v>534</v>
      </c>
      <c r="B18" s="21" t="n">
        <v>10847</v>
      </c>
      <c r="C18" s="21" t="n">
        <v>660</v>
      </c>
      <c r="D18" s="21" t="n">
        <v>28.74</v>
      </c>
      <c r="E18" s="21" t="n">
        <v>0.098</v>
      </c>
      <c r="F18" s="21" t="n">
        <v>0.137</v>
      </c>
      <c r="G18" s="21" t="s">
        <v>514</v>
      </c>
      <c r="H18" s="21"/>
    </row>
    <row r="19" customFormat="false" ht="15" hidden="false" customHeight="false" outlineLevel="0" collapsed="false">
      <c r="A19" s="21" t="s">
        <v>535</v>
      </c>
      <c r="B19" s="21" t="n">
        <v>7539</v>
      </c>
      <c r="C19" s="21" t="n">
        <v>485</v>
      </c>
      <c r="D19" s="21" t="n">
        <v>6.12</v>
      </c>
      <c r="E19" s="21" t="n">
        <v>0.122</v>
      </c>
      <c r="F19" s="21" t="n">
        <v>0.159</v>
      </c>
      <c r="G19" s="21" t="s">
        <v>514</v>
      </c>
      <c r="H19" s="21"/>
    </row>
    <row r="20" customFormat="false" ht="15" hidden="false" customHeight="false" outlineLevel="0" collapsed="false">
      <c r="A20" s="21" t="s">
        <v>536</v>
      </c>
      <c r="B20" s="21" t="n">
        <v>11047</v>
      </c>
      <c r="C20" s="21" t="n">
        <v>670</v>
      </c>
      <c r="D20" s="21" t="n">
        <v>12.05</v>
      </c>
      <c r="E20" s="21" t="n">
        <v>0.092</v>
      </c>
      <c r="F20" s="21" t="n">
        <v>0.123</v>
      </c>
      <c r="G20" s="21" t="s">
        <v>514</v>
      </c>
      <c r="H20" s="21"/>
    </row>
    <row r="22" customFormat="false" ht="15" hidden="false" customHeight="false" outlineLevel="0" collapsed="false">
      <c r="A22" s="34" t="s">
        <v>537</v>
      </c>
    </row>
    <row r="23" customFormat="false" ht="26.85" hidden="false" customHeight="false" outlineLevel="0" collapsed="false">
      <c r="A23" s="7" t="s">
        <v>538</v>
      </c>
      <c r="B23" s="7" t="s">
        <v>506</v>
      </c>
      <c r="C23" s="7" t="s">
        <v>507</v>
      </c>
      <c r="D23" s="7" t="s">
        <v>524</v>
      </c>
      <c r="E23" s="7" t="s">
        <v>539</v>
      </c>
      <c r="F23" s="7"/>
      <c r="G23" s="7"/>
      <c r="H23" s="7"/>
    </row>
    <row r="24" customFormat="false" ht="15" hidden="false" customHeight="false" outlineLevel="0" collapsed="false">
      <c r="A24" s="21" t="s">
        <v>540</v>
      </c>
      <c r="B24" s="21" t="n">
        <v>20.11</v>
      </c>
      <c r="C24" s="21" t="n">
        <v>344</v>
      </c>
      <c r="D24" s="21" t="n">
        <v>1022</v>
      </c>
      <c r="E24" s="21" t="n">
        <v>0.382</v>
      </c>
    </row>
    <row r="25" customFormat="false" ht="15" hidden="false" customHeight="false" outlineLevel="0" collapsed="false">
      <c r="A25" s="21" t="s">
        <v>541</v>
      </c>
      <c r="B25" s="21" t="n">
        <v>7.59</v>
      </c>
      <c r="C25" s="21" t="n">
        <v>181</v>
      </c>
      <c r="D25" s="21" t="n">
        <v>1022</v>
      </c>
      <c r="E25" s="21" t="n">
        <v>0.646</v>
      </c>
    </row>
    <row r="26" customFormat="false" ht="15" hidden="false" customHeight="false" outlineLevel="0" collapsed="false">
      <c r="A26" s="21" t="s">
        <v>542</v>
      </c>
      <c r="B26" s="21" t="n">
        <v>6.45</v>
      </c>
      <c r="C26" s="21" t="n">
        <v>166</v>
      </c>
      <c r="D26" s="21" t="n">
        <v>1022</v>
      </c>
      <c r="E26" s="21" t="n">
        <v>0.709</v>
      </c>
    </row>
    <row r="27" customFormat="false" ht="15" hidden="false" customHeight="false" outlineLevel="0" collapsed="false">
      <c r="A27" s="21" t="s">
        <v>543</v>
      </c>
      <c r="B27" s="21" t="n">
        <v>6.45</v>
      </c>
      <c r="C27" s="21" t="n">
        <v>139</v>
      </c>
      <c r="D27" s="21" t="n">
        <v>517</v>
      </c>
      <c r="E27" s="21" t="n">
        <v>0.779</v>
      </c>
    </row>
    <row r="28" customFormat="false" ht="15" hidden="false" customHeight="false" outlineLevel="0" collapsed="false">
      <c r="A28" s="21" t="s">
        <v>544</v>
      </c>
      <c r="B28" s="21" t="n">
        <v>6.45</v>
      </c>
      <c r="C28" s="21" t="n">
        <v>274</v>
      </c>
      <c r="D28" s="21" t="n">
        <v>3082</v>
      </c>
      <c r="E28" s="21" t="n">
        <v>0.491</v>
      </c>
    </row>
    <row r="29" customFormat="false" ht="15" hidden="false" customHeight="false" outlineLevel="0" collapsed="false">
      <c r="A29" s="21" t="s">
        <v>545</v>
      </c>
      <c r="B29" s="21" t="n">
        <v>6.45</v>
      </c>
      <c r="C29" s="21" t="n">
        <v>155</v>
      </c>
      <c r="D29" s="21" t="n">
        <v>811</v>
      </c>
      <c r="E29" s="21" t="n">
        <v>0.718</v>
      </c>
    </row>
    <row r="30" customFormat="false" ht="15" hidden="false" customHeight="false" outlineLevel="0" collapsed="false">
      <c r="A30" s="21" t="s">
        <v>546</v>
      </c>
      <c r="B30" s="21" t="n">
        <v>6.45</v>
      </c>
      <c r="C30" s="21" t="n">
        <v>135</v>
      </c>
      <c r="D30" s="21" t="n">
        <v>446</v>
      </c>
      <c r="E30" s="21" t="n">
        <v>0.775</v>
      </c>
    </row>
    <row r="32" customFormat="false" ht="31.5" hidden="false" customHeight="true" outlineLevel="0" collapsed="false">
      <c r="A32" s="46" t="s">
        <v>547</v>
      </c>
      <c r="B32" s="46"/>
      <c r="C32" s="46"/>
      <c r="D32" s="46"/>
      <c r="E32" s="46"/>
      <c r="F32" s="46"/>
      <c r="G32" s="46"/>
      <c r="H32" s="46"/>
      <c r="I32" s="46"/>
    </row>
    <row r="33" customFormat="false" ht="31.5" hidden="false" customHeight="true" outlineLevel="0" collapsed="false">
      <c r="A33" s="47" t="s">
        <v>548</v>
      </c>
      <c r="B33" s="47"/>
      <c r="C33" s="47"/>
      <c r="D33" s="47"/>
      <c r="E33" s="47"/>
      <c r="F33" s="47"/>
      <c r="G33" s="47"/>
      <c r="H33" s="47"/>
      <c r="I33" s="47"/>
    </row>
    <row r="34" customFormat="false" ht="31.5" hidden="false" customHeight="true" outlineLevel="0" collapsed="false">
      <c r="A34" s="47" t="s">
        <v>549</v>
      </c>
      <c r="B34" s="47"/>
      <c r="C34" s="47"/>
      <c r="D34" s="47"/>
      <c r="E34" s="47"/>
      <c r="F34" s="47"/>
      <c r="G34" s="47"/>
      <c r="H34" s="47"/>
      <c r="I34" s="47"/>
    </row>
    <row r="35" customFormat="false" ht="31.5" hidden="false" customHeight="true" outlineLevel="0" collapsed="false">
      <c r="A35" s="47" t="s">
        <v>550</v>
      </c>
      <c r="B35" s="47"/>
      <c r="C35" s="47"/>
      <c r="D35" s="47"/>
      <c r="E35" s="47"/>
      <c r="F35" s="47"/>
      <c r="G35" s="47"/>
      <c r="H35" s="47"/>
      <c r="I35" s="47"/>
    </row>
    <row r="36" customFormat="false" ht="31.5" hidden="false" customHeight="true" outlineLevel="0" collapsed="false">
      <c r="A36" s="47" t="s">
        <v>551</v>
      </c>
      <c r="B36" s="47"/>
      <c r="C36" s="47"/>
      <c r="D36" s="47"/>
      <c r="E36" s="47"/>
      <c r="F36" s="47"/>
      <c r="G36" s="47"/>
      <c r="H36" s="47"/>
      <c r="I36" s="47"/>
    </row>
    <row r="37" customFormat="false" ht="31.5" hidden="false" customHeight="true" outlineLevel="0" collapsed="false">
      <c r="A37" s="47" t="s">
        <v>552</v>
      </c>
      <c r="B37" s="47"/>
      <c r="C37" s="47"/>
      <c r="D37" s="47"/>
      <c r="E37" s="47"/>
      <c r="F37" s="47"/>
      <c r="G37" s="47"/>
      <c r="H37" s="47"/>
      <c r="I37" s="47"/>
    </row>
    <row r="38" customFormat="false" ht="31.5" hidden="false" customHeight="true" outlineLevel="0" collapsed="false">
      <c r="A38" s="47" t="s">
        <v>553</v>
      </c>
      <c r="B38" s="47"/>
      <c r="C38" s="47"/>
      <c r="D38" s="47"/>
      <c r="E38" s="47"/>
      <c r="F38" s="47"/>
      <c r="G38" s="47"/>
      <c r="H38" s="47"/>
      <c r="I38" s="47"/>
    </row>
  </sheetData>
  <mergeCells count="8">
    <mergeCell ref="A2:I2"/>
    <mergeCell ref="A32:I32"/>
    <mergeCell ref="A33:I33"/>
    <mergeCell ref="A34:I34"/>
    <mergeCell ref="A35:I35"/>
    <mergeCell ref="A36:I36"/>
    <mergeCell ref="A37:I37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2026-10-11T02:15:58Z</dcterms:created>
  <dc:creator>openpyxl</dc:creator>
  <dc:description/>
  <dc:language>en-US</dc:language>
  <cp:lastModifiedBy/>
  <dcterms:modified xsi:type="dcterms:W3CDTF">2026-10-11T02:15:58Z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