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егенда" sheetId="1" state="visible" r:id="rId3"/>
    <sheet name="Справочник" sheetId="2" state="visible" r:id="rId4"/>
    <sheet name="Диплом_под_флюсом" sheetId="3" state="visible" r:id="rId5"/>
    <sheet name="MAG_в_CO2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<sst xmlns="http://schemas.openxmlformats.org/spreadsheetml/2006/main" count="111" uniqueCount="81">
  <si>
    <t xml:space="preserve">Блок модели «вещества → потребный воздухообмен». Версия 1 от 09.10.2026</t>
  </si>
  <si>
    <t xml:space="preserve">Как читать файл</t>
  </si>
  <si>
    <t xml:space="preserve">Синий шрифт на жёлтом фоне — исходные данные, их можно менять.</t>
  </si>
  <si>
    <t xml:space="preserve">Чёрный шрифт — формулы (видны в строке формул), пересчитываются автоматически.</t>
  </si>
  <si>
    <t xml:space="preserve">Зелёный фон — итоговый результат.</t>
  </si>
  <si>
    <t xml:space="preserve">Красный фон — расхождение с дипломом или значение, которое нужно проверить.</t>
  </si>
  <si>
    <t xml:space="preserve">Формулы модели</t>
  </si>
  <si>
    <t xml:space="preserve">(1) G_i = g_i · 1000 · B · n — выделение вещества i, мг/ч (g_i в г/кг, B — расход сварочного материала на пост, кг/ч, n — число постов).</t>
  </si>
  <si>
    <t xml:space="preserve">     Источник: Методика расчёта выделений при сварочных работах на основе удельных показателей (прил. 2 к приказу Госкомэкологии РФ № 158 от 14.04.1997); ГОСТ Р 56164-2014.</t>
  </si>
  <si>
    <t xml:space="preserve">(2) G_пом,i = (1 − η) · G_i — часть, не уловленная местным отсосом, мг/ч. η — эффективность захвата: ДОПУЩЕНИЕ (в дипломе 0,75).</t>
  </si>
  <si>
    <t xml:space="preserve">(3) L_i = G_пом,i / (ПДК_i − q_пр,i) — общеобменный воздухообмен по веществу i, м³/ч. Формула расчёта воздухообмена по массе вредных веществ СП 60.13330 (как в дипломе, при L_wz = 0 и m_po = G_пом).</t>
  </si>
  <si>
    <t xml:space="preserve">     q_пр — концентрация в приточном воздухе. Для наружного воздуха — фон, сверху ограничен ПДК атм. воздуха (как в дипломе). Ограничение: q_пр ≤ 0,3·ПДК р.з. (СП 60.13330.2020, п. 5.11).</t>
  </si>
  <si>
    <t xml:space="preserve">(4) Несколько веществ: расход по веществу, требующему наибольшего воздухообмена; для веществ однонаправленного действия расходы суммируются (СП 60.13330.2020, п. 7.4.3).</t>
  </si>
  <si>
    <t xml:space="preserve">     В таблице это реализовано так: вещества одной «группы» суммируются, итог = максимум по группам.</t>
  </si>
  <si>
    <t xml:space="preserve">(5) Местный отсос: L_мо ≥ 1500 м³/ч на стационарный пост со сварочным столом, скорость у точки сварки ≥ 0,2 м/с (ГОСТ 12.3.003-86, п. 2.11.1).</t>
  </si>
  <si>
    <t xml:space="preserve">Что нужно проверить по первоисточникам</t>
  </si>
  <si>
    <t xml:space="preserve">— ПДК фтористого водорода (0,1) и ПДК атм. воздуха — взяты из диплома, сверить с СанПиН 1.2.3685-21.</t>
  </si>
  <si>
    <t xml:space="preserve">— Удельные выделения флюса ФЦ-12 — взяты из диплома (табл. 1.6), сверить с Методикой 1997 г. Значения для Св-08Г2С подтверждены вторым источником.</t>
  </si>
  <si>
    <t xml:space="preserve">— ПДК марганца зависит от его доли в аэрозоле (до 20 % — 0,6/0,2; 20–30 % — 0,3/0,1). У ФЦ-12 доля Mn = 33 % — категорию нужно уточнить по СанПиН.</t>
  </si>
  <si>
    <t xml:space="preserve">— Однонаправленность действия оксида железа и HF (принята в дипломе) требует обоснования.</t>
  </si>
  <si>
    <t xml:space="preserve">Вещество</t>
  </si>
  <si>
    <t xml:space="preserve">ПДК р.з. ср.см, мг/м³</t>
  </si>
  <si>
    <t xml:space="preserve">ПДК атм. ср.сут, мг/м³ (фон q_пр)</t>
  </si>
  <si>
    <t xml:space="preserve">Статус</t>
  </si>
  <si>
    <t xml:space="preserve">Источник</t>
  </si>
  <si>
    <t xml:space="preserve">Железа оксид</t>
  </si>
  <si>
    <t xml:space="preserve">Подтверждено вторым источником</t>
  </si>
  <si>
    <t xml:space="preserve">Диплом, табл. 2.2; Быстряков, Невар // Веснік ВДУ, 2020, № 1(106) — 6,0 мг/м³</t>
  </si>
  <si>
    <t xml:space="preserve">Марганец в сварочных аэрозолях (Mn ≤ 20 %)</t>
  </si>
  <si>
    <t xml:space="preserve">Подтверждено первоисточником</t>
  </si>
  <si>
    <t xml:space="preserve">СанПиН 1.2.3685-21, табл. 2.1, стр. 1221–1223: до 20 % — 0,6/0,2; 20–30 % — 0,3/0,1 мг/м³, класс 2. При Mn &gt; 30 % категории нет (ближайшее: оксиды Mn, аэрозоль конденсации — 0,05)</t>
  </si>
  <si>
    <t xml:space="preserve">Фтористый водород</t>
  </si>
  <si>
    <t xml:space="preserve">Проверить</t>
  </si>
  <si>
    <t xml:space="preserve">Диплом, табл. 2.2; сверить с СанПиН 1.2.3685-21</t>
  </si>
  <si>
    <t xml:space="preserve">Углерода оксид</t>
  </si>
  <si>
    <t xml:space="preserve">Быстряков, Невар, 2020 — 20 мг/м³</t>
  </si>
  <si>
    <t xml:space="preserve">Азота диоксид</t>
  </si>
  <si>
    <t xml:space="preserve">СанПиН 1.2.3685-21, табл. 2.1, стр. 4: 2 мг/м³ (макс.), класс 3, «О»</t>
  </si>
  <si>
    <t xml:space="preserve">Удельные выделения, г/кг расходуемого сварочного материала</t>
  </si>
  <si>
    <t xml:space="preserve">Материал / процесс</t>
  </si>
  <si>
    <t xml:space="preserve">Сварочный аэрозоль</t>
  </si>
  <si>
    <t xml:space="preserve">Марганец</t>
  </si>
  <si>
    <t xml:space="preserve">Пыль SiO₂ 20–70 %</t>
  </si>
  <si>
    <t xml:space="preserve">Статус / источник</t>
  </si>
  <si>
    <t xml:space="preserve">Св-08Г2С, сварка в CO₂</t>
  </si>
  <si>
    <t xml:space="preserve">Методика 1997 г. (по диплому, табл. 1.6); 7,67 / 1,9 / 0,43 подтверждены методикой РК (ecoportal.kz)</t>
  </si>
  <si>
    <t xml:space="preserve">ФЦ-12, сварка под флюсом</t>
  </si>
  <si>
    <t xml:space="preserve">ПРОВЕРИТЬ: диплом, табл. 1.6; сверить с Методикой 1997 г.</t>
  </si>
  <si>
    <t xml:space="preserve">Контрольный пример 1: диплом, 4 поста, автоматическая сварка под флюсом ФЦ-12</t>
  </si>
  <si>
    <t xml:space="preserve">Группы как в дипломе: оксид железа и HF — группа 1 (суммируются), Mn — группа 2. Чтобы считать «каждое отдельно», поставь HF группу 3.</t>
  </si>
  <si>
    <t xml:space="preserve">Расход сварочного материала на пост B, кг/ч</t>
  </si>
  <si>
    <t xml:space="preserve">Число постов n</t>
  </si>
  <si>
    <t xml:space="preserve">Эффективность захвата местным отсосом η (допущение)</t>
  </si>
  <si>
    <t xml:space="preserve">Местный отсос на пост L_мо, м³/ч (ГОСТ 12.3.003-86, п. 2.11.1: ≥ 1500)</t>
  </si>
  <si>
    <t xml:space="preserve">g, г/кг</t>
  </si>
  <si>
    <t xml:space="preserve">G = g·1000·B·n, мг/ч</t>
  </si>
  <si>
    <t xml:space="preserve">G_пом = (1−η)·G, мг/ч</t>
  </si>
  <si>
    <t xml:space="preserve">ПДК р.з., мг/м³</t>
  </si>
  <si>
    <t xml:space="preserve">q_пр, мг/м³</t>
  </si>
  <si>
    <t xml:space="preserve">L = G_пом/(ПДК−q_пр), м³/ч</t>
  </si>
  <si>
    <t xml:space="preserve">Группа однонаправл. действия</t>
  </si>
  <si>
    <t xml:space="preserve">Диплом, м³/ч</t>
  </si>
  <si>
    <t xml:space="preserve">Расхождение</t>
  </si>
  <si>
    <t xml:space="preserve">Проверка исходной строки диплома без захвата: 817 / (0,2 − 0,001) =</t>
  </si>
  <si>
    <t xml:space="preserve">В дипломе указано 4300 м³/ч — арифметическая ошибка</t>
  </si>
  <si>
    <t xml:space="preserve">Сумма L по группам</t>
  </si>
  <si>
    <t xml:space="preserve">Группа 1</t>
  </si>
  <si>
    <t xml:space="preserve">Группа 2</t>
  </si>
  <si>
    <t xml:space="preserve">Группа 3</t>
  </si>
  <si>
    <t xml:space="preserve">Общеобменный воздухообмен L_оо = max по группам, м³/ч (СП 60.13330.2020, п. 7.4.3)</t>
  </si>
  <si>
    <t xml:space="preserve">Для сравнения: если все вещества разного действия (максимум), м³/ч</t>
  </si>
  <si>
    <t xml:space="preserve">Местные отсосы, всего ΣL_мо = L_мо·n, м³/ч</t>
  </si>
  <si>
    <t xml:space="preserve">Итого удаляемый (= приточный) воздух L_мо + L_оо, м³/ч</t>
  </si>
  <si>
    <t xml:space="preserve">Пример 2: полуавтоматическая сварка в CO₂ проволокой Св-08Г2С, 1 пост</t>
  </si>
  <si>
    <t xml:space="preserve">B = 3 кг/ч — условное значение для примера (не из источника). Пыль SiO₂ не включена: ПДК не проверена.</t>
  </si>
  <si>
    <t xml:space="preserve">Чувствительность к эффективности захвата η</t>
  </si>
  <si>
    <t xml:space="preserve">η</t>
  </si>
  <si>
    <t xml:space="preserve">L по Mn, м³/ч</t>
  </si>
  <si>
    <t xml:space="preserve">L по Fe, м³/ч</t>
  </si>
  <si>
    <t xml:space="preserve">L_оо, м³/ч</t>
  </si>
  <si>
    <t xml:space="preserve">Итого с местным, м³/ч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</si>
</sst>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General"/>
    <numFmt numFmtId="167" formatCode="#,##0.0"/>
    <numFmt numFmtId="168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2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/>
    </row>
    <row r="9" customFormat="false" ht="15" hidden="false" customHeight="true" outlineLevel="0" collapsed="false">
      <c r="A9" s="2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 t="s">
        <v>13</v>
      </c>
    </row>
    <row r="17" customFormat="false" ht="15" hidden="false" customHeight="true" outlineLevel="0" collapsed="false">
      <c r="A17" s="3" t="s">
        <v>14</v>
      </c>
    </row>
    <row r="18" customFormat="false" ht="15" hidden="false" customHeight="true" outlineLevel="0" collapsed="false">
      <c r="A18" s="3"/>
    </row>
    <row r="19" customFormat="false" ht="15" hidden="false" customHeight="true" outlineLevel="0" collapsed="false">
      <c r="A19" s="2" t="s">
        <v>15</v>
      </c>
    </row>
    <row r="20" customFormat="false" ht="15" hidden="false" customHeight="true" outlineLevel="0" collapsed="false">
      <c r="A20" s="3" t="s">
        <v>16</v>
      </c>
    </row>
    <row r="21" customFormat="false" ht="15" hidden="false" customHeight="true" outlineLevel="0" collapsed="false">
      <c r="A21" s="3" t="s">
        <v>17</v>
      </c>
    </row>
    <row r="22" customFormat="false" ht="15" hidden="false" customHeight="true" outlineLevel="0" collapsed="false">
      <c r="A22" s="3" t="s">
        <v>18</v>
      </c>
    </row>
    <row r="23" customFormat="false" ht="15" hidden="false" customHeight="true" outlineLevel="0" collapsed="false">
      <c r="A23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6" min="5" style="1" width="16"/>
    <col collapsed="false" customWidth="true" hidden="false" outlineLevel="0" max="7" min="7" style="1" width="70"/>
  </cols>
  <sheetData>
    <row r="1" customFormat="false" ht="26.25" hidden="false" customHeight="true" outlineLevel="0" collapsed="false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5"/>
      <c r="G1" s="5"/>
    </row>
    <row r="2" customFormat="false" ht="77.25" hidden="false" customHeight="true" outlineLevel="0" collapsed="false">
      <c r="A2" s="6" t="s">
        <v>25</v>
      </c>
      <c r="B2" s="7" t="n">
        <v>6</v>
      </c>
      <c r="C2" s="7" t="n">
        <v>0.04</v>
      </c>
      <c r="D2" s="6" t="s">
        <v>26</v>
      </c>
      <c r="E2" s="6" t="s">
        <v>27</v>
      </c>
      <c r="F2" s="5"/>
      <c r="G2" s="5"/>
    </row>
    <row r="3" customFormat="false" ht="90" hidden="false" customHeight="true" outlineLevel="0" collapsed="false">
      <c r="A3" s="6" t="s">
        <v>28</v>
      </c>
      <c r="B3" s="7" t="n">
        <v>0.2</v>
      </c>
      <c r="C3" s="7" t="n">
        <v>0.001</v>
      </c>
      <c r="D3" s="6" t="s">
        <v>29</v>
      </c>
      <c r="E3" s="6" t="s">
        <v>30</v>
      </c>
      <c r="F3" s="5"/>
      <c r="G3" s="5"/>
    </row>
    <row r="4" customFormat="false" ht="51.75" hidden="false" customHeight="true" outlineLevel="0" collapsed="false">
      <c r="A4" s="6" t="s">
        <v>31</v>
      </c>
      <c r="B4" s="7" t="n">
        <v>0.1</v>
      </c>
      <c r="C4" s="7" t="n">
        <v>0.01</v>
      </c>
      <c r="D4" s="8" t="s">
        <v>32</v>
      </c>
      <c r="E4" s="6" t="s">
        <v>33</v>
      </c>
      <c r="F4" s="5"/>
      <c r="G4" s="5"/>
    </row>
    <row r="5" customFormat="false" ht="39" hidden="false" customHeight="true" outlineLevel="0" collapsed="false">
      <c r="A5" s="6" t="s">
        <v>34</v>
      </c>
      <c r="B5" s="7" t="n">
        <v>20</v>
      </c>
      <c r="C5" s="9"/>
      <c r="D5" s="6" t="s">
        <v>26</v>
      </c>
      <c r="E5" s="6" t="s">
        <v>35</v>
      </c>
      <c r="F5" s="5"/>
      <c r="G5" s="5"/>
    </row>
    <row r="6" customFormat="false" ht="64.5" hidden="false" customHeight="true" outlineLevel="0" collapsed="false">
      <c r="A6" s="6" t="s">
        <v>36</v>
      </c>
      <c r="B6" s="7" t="n">
        <v>2</v>
      </c>
      <c r="C6" s="9"/>
      <c r="D6" s="6" t="s">
        <v>29</v>
      </c>
      <c r="E6" s="6" t="s">
        <v>37</v>
      </c>
      <c r="F6" s="5"/>
      <c r="G6" s="5"/>
    </row>
    <row r="7" customFormat="false" ht="15" hidden="false" customHeight="true" outlineLevel="0" collapsed="false">
      <c r="A7" s="5"/>
      <c r="B7" s="5"/>
      <c r="C7" s="5"/>
      <c r="D7" s="5"/>
      <c r="E7" s="5"/>
      <c r="F7" s="5"/>
      <c r="G7" s="5"/>
    </row>
    <row r="8" customFormat="false" ht="15" hidden="false" customHeight="true" outlineLevel="0" collapsed="false">
      <c r="A8" s="5"/>
      <c r="B8" s="5"/>
      <c r="C8" s="5"/>
      <c r="D8" s="5"/>
      <c r="E8" s="5"/>
      <c r="F8" s="5"/>
      <c r="G8" s="5"/>
    </row>
    <row r="9" customFormat="false" ht="15" hidden="false" customHeight="true" outlineLevel="0" collapsed="false">
      <c r="A9" s="2" t="s">
        <v>38</v>
      </c>
      <c r="B9" s="5"/>
      <c r="C9" s="5"/>
      <c r="D9" s="5"/>
      <c r="E9" s="5"/>
      <c r="F9" s="5"/>
      <c r="G9" s="5"/>
    </row>
    <row r="10" customFormat="false" ht="26.25" hidden="false" customHeight="true" outlineLevel="0" collapsed="false">
      <c r="A10" s="4" t="s">
        <v>39</v>
      </c>
      <c r="B10" s="4" t="s">
        <v>40</v>
      </c>
      <c r="C10" s="4" t="s">
        <v>25</v>
      </c>
      <c r="D10" s="4" t="s">
        <v>41</v>
      </c>
      <c r="E10" s="4" t="s">
        <v>42</v>
      </c>
      <c r="F10" s="4" t="s">
        <v>31</v>
      </c>
      <c r="G10" s="4" t="s">
        <v>43</v>
      </c>
    </row>
    <row r="11" customFormat="false" ht="26.25" hidden="false" customHeight="true" outlineLevel="0" collapsed="false">
      <c r="A11" s="6" t="s">
        <v>44</v>
      </c>
      <c r="B11" s="7" t="n">
        <v>10</v>
      </c>
      <c r="C11" s="7" t="n">
        <v>7.67</v>
      </c>
      <c r="D11" s="7" t="n">
        <v>1.9</v>
      </c>
      <c r="E11" s="7" t="n">
        <v>0.43</v>
      </c>
      <c r="F11" s="9"/>
      <c r="G11" s="6" t="s">
        <v>45</v>
      </c>
    </row>
    <row r="12" customFormat="false" ht="15" hidden="false" customHeight="true" outlineLevel="0" collapsed="false">
      <c r="A12" s="6" t="s">
        <v>46</v>
      </c>
      <c r="B12" s="7" t="n">
        <v>0.09</v>
      </c>
      <c r="C12" s="7" t="n">
        <v>0.06</v>
      </c>
      <c r="D12" s="7" t="n">
        <v>0.03</v>
      </c>
      <c r="E12" s="9"/>
      <c r="F12" s="7" t="n">
        <v>0.02</v>
      </c>
      <c r="G12" s="8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0"/>
    <col collapsed="false" customWidth="true" hidden="false" outlineLevel="0" max="4" min="3" style="1" width="18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20"/>
    <col collapsed="false" customWidth="true" hidden="false" outlineLevel="0" max="8" min="8" style="1" width="16"/>
    <col collapsed="false" customWidth="true" hidden="false" outlineLevel="0" max="10" min="9" style="1" width="14"/>
    <col collapsed="false" customWidth="true" hidden="false" outlineLevel="0" max="12" min="12" style="1" width="60"/>
  </cols>
  <sheetData>
    <row r="1" customFormat="false" ht="15" hidden="false" customHeight="true" outlineLevel="0" collapsed="false">
      <c r="A1" s="2" t="s">
        <v>48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customFormat="false" ht="15" hidden="false" customHeight="true" outlineLevel="0" collapsed="false">
      <c r="A2" s="3" t="s">
        <v>49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customFormat="false" ht="1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customFormat="false" ht="15" hidden="false" customHeight="true" outlineLevel="0" collapsed="false">
      <c r="A4" s="3" t="s">
        <v>50</v>
      </c>
      <c r="B4" s="10" t="n">
        <v>6.808</v>
      </c>
      <c r="C4" s="5"/>
      <c r="D4" s="5"/>
      <c r="E4" s="5"/>
      <c r="F4" s="5"/>
      <c r="G4" s="5"/>
      <c r="H4" s="5"/>
      <c r="I4" s="5"/>
      <c r="J4" s="5"/>
      <c r="K4" s="5"/>
      <c r="L4" s="5"/>
    </row>
    <row r="5" customFormat="false" ht="15" hidden="false" customHeight="true" outlineLevel="0" collapsed="false">
      <c r="A5" s="3" t="s">
        <v>51</v>
      </c>
      <c r="B5" s="10" t="n">
        <v>4</v>
      </c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15" hidden="false" customHeight="true" outlineLevel="0" collapsed="false">
      <c r="A6" s="3" t="s">
        <v>52</v>
      </c>
      <c r="B6" s="11" t="n">
        <v>0.75</v>
      </c>
      <c r="C6" s="5"/>
      <c r="D6" s="5"/>
      <c r="E6" s="5"/>
      <c r="F6" s="5"/>
      <c r="G6" s="5"/>
      <c r="H6" s="5"/>
      <c r="I6" s="5"/>
      <c r="J6" s="5"/>
      <c r="K6" s="5"/>
      <c r="L6" s="5"/>
    </row>
    <row r="7" customFormat="false" ht="15" hidden="false" customHeight="true" outlineLevel="0" collapsed="false">
      <c r="A7" s="3" t="s">
        <v>53</v>
      </c>
      <c r="B7" s="10" t="n">
        <v>1500</v>
      </c>
      <c r="C7" s="5"/>
      <c r="D7" s="5"/>
      <c r="E7" s="5"/>
      <c r="F7" s="5"/>
      <c r="G7" s="5"/>
      <c r="H7" s="5"/>
      <c r="I7" s="5"/>
      <c r="J7" s="5"/>
      <c r="K7" s="5"/>
      <c r="L7" s="5"/>
    </row>
    <row r="8" customFormat="false" ht="1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customFormat="false" ht="45" hidden="false" customHeight="true" outlineLevel="0" collapsed="false">
      <c r="A9" s="4" t="s">
        <v>20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4" t="s">
        <v>59</v>
      </c>
      <c r="H9" s="4" t="s">
        <v>60</v>
      </c>
      <c r="I9" s="4" t="s">
        <v>61</v>
      </c>
      <c r="J9" s="4" t="s">
        <v>62</v>
      </c>
      <c r="K9" s="5"/>
      <c r="L9" s="5"/>
    </row>
    <row r="10" customFormat="false" ht="15" hidden="false" customHeight="true" outlineLevel="0" collapsed="false">
      <c r="A10" s="12" t="s">
        <v>25</v>
      </c>
      <c r="B10" s="13" t="n">
        <f aca="false">Справочник!C12</f>
        <v>0.06</v>
      </c>
      <c r="C10" s="14" t="n">
        <f aca="false">B10*1000*$B$4*$B$5</f>
        <v>1633.92</v>
      </c>
      <c r="D10" s="14" t="n">
        <f aca="false">(1-$B$6)*C10</f>
        <v>408.48</v>
      </c>
      <c r="E10" s="13" t="n">
        <f aca="false">Справочник!B2</f>
        <v>6</v>
      </c>
      <c r="F10" s="13" t="n">
        <f aca="false">Справочник!C2</f>
        <v>0.04</v>
      </c>
      <c r="G10" s="15" t="n">
        <f aca="false">IF(E10&gt;F10,D10/(E10-F10),"ПДК ≤ фона")</f>
        <v>68.5369127516779</v>
      </c>
      <c r="H10" s="10" t="n">
        <v>1</v>
      </c>
      <c r="I10" s="16" t="n">
        <v>68</v>
      </c>
      <c r="J10" s="12" t="str">
        <f aca="false">IF(ABS(G10-I10)&gt;2,G10-I10,"совпадает")</f>
        <v>совпадает</v>
      </c>
      <c r="K10" s="5"/>
      <c r="L10" s="5" t="s">
        <v>63</v>
      </c>
    </row>
    <row r="11" customFormat="false" ht="15" hidden="false" customHeight="true" outlineLevel="0" collapsed="false">
      <c r="A11" s="12" t="s">
        <v>41</v>
      </c>
      <c r="B11" s="13" t="n">
        <f aca="false">Справочник!D12</f>
        <v>0.03</v>
      </c>
      <c r="C11" s="14" t="n">
        <f aca="false">B11*1000*$B$4*$B$5</f>
        <v>816.96</v>
      </c>
      <c r="D11" s="14" t="n">
        <f aca="false">(1-$B$6)*C11</f>
        <v>204.24</v>
      </c>
      <c r="E11" s="13" t="n">
        <f aca="false">Справочник!B3</f>
        <v>0.2</v>
      </c>
      <c r="F11" s="13" t="n">
        <f aca="false">Справочник!C3</f>
        <v>0.001</v>
      </c>
      <c r="G11" s="15" t="n">
        <f aca="false">IF(E11&gt;F11,D11/(E11-F11),"ПДК ≤ фона")</f>
        <v>1026.33165829146</v>
      </c>
      <c r="H11" s="10" t="n">
        <v>2</v>
      </c>
      <c r="I11" s="16" t="n">
        <v>1075</v>
      </c>
      <c r="J11" s="17" t="n">
        <f aca="false">IF(ABS(G11-I11)&gt;2,G11-I11,"совпадает")</f>
        <v>-48.6683417085428</v>
      </c>
      <c r="K11" s="5"/>
      <c r="L11" s="18" t="n">
        <f aca="false">817/(0.2-0.001)</f>
        <v>4105.52763819095</v>
      </c>
    </row>
    <row r="12" customFormat="false" ht="15" hidden="false" customHeight="true" outlineLevel="0" collapsed="false">
      <c r="A12" s="12" t="s">
        <v>31</v>
      </c>
      <c r="B12" s="13" t="n">
        <f aca="false">Справочник!F12</f>
        <v>0.02</v>
      </c>
      <c r="C12" s="14" t="n">
        <f aca="false">B12*1000*$B$4*$B$5</f>
        <v>544.64</v>
      </c>
      <c r="D12" s="14" t="n">
        <f aca="false">(1-$B$6)*C12</f>
        <v>136.16</v>
      </c>
      <c r="E12" s="13" t="n">
        <f aca="false">Справочник!B4</f>
        <v>0.1</v>
      </c>
      <c r="F12" s="13" t="n">
        <f aca="false">Справочник!C4</f>
        <v>0.01</v>
      </c>
      <c r="G12" s="15" t="n">
        <f aca="false">IF(E12&gt;F12,D12/(E12-F12),"ПДК ≤ фона")</f>
        <v>1512.88888888889</v>
      </c>
      <c r="H12" s="10" t="n">
        <v>1</v>
      </c>
      <c r="I12" s="16" t="n">
        <v>1514</v>
      </c>
      <c r="J12" s="12" t="str">
        <f aca="false">IF(ABS(G12-I12)&gt;2,G12-I12,"совпадает")</f>
        <v>совпадает</v>
      </c>
      <c r="K12" s="5"/>
      <c r="L12" s="19" t="s">
        <v>64</v>
      </c>
    </row>
    <row r="13" customFormat="false" ht="1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customFormat="false" ht="15" hidden="false" customHeight="true" outlineLevel="0" collapsed="false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customFormat="false" ht="15" hidden="false" customHeight="true" outlineLevel="0" collapsed="false">
      <c r="A15" s="5" t="s">
        <v>66</v>
      </c>
      <c r="B15" s="5"/>
      <c r="C15" s="5"/>
      <c r="D15" s="5"/>
      <c r="E15" s="5"/>
      <c r="F15" s="5"/>
      <c r="G15" s="18" t="n">
        <f aca="false">SUMIF($H$10:$H$12,1,$G$10:$G$12)</f>
        <v>1581.42580164057</v>
      </c>
      <c r="H15" s="5"/>
      <c r="I15" s="5"/>
      <c r="J15" s="5"/>
      <c r="K15" s="5"/>
      <c r="L15" s="5"/>
    </row>
    <row r="16" customFormat="false" ht="15" hidden="false" customHeight="true" outlineLevel="0" collapsed="false">
      <c r="A16" s="5" t="s">
        <v>67</v>
      </c>
      <c r="B16" s="5"/>
      <c r="C16" s="5"/>
      <c r="D16" s="5"/>
      <c r="E16" s="5"/>
      <c r="F16" s="5"/>
      <c r="G16" s="18" t="n">
        <f aca="false">SUMIF($H$10:$H$12,2,$G$10:$G$12)</f>
        <v>1026.33165829146</v>
      </c>
      <c r="H16" s="5"/>
      <c r="I16" s="5"/>
      <c r="J16" s="5"/>
      <c r="K16" s="5"/>
      <c r="L16" s="5"/>
    </row>
    <row r="17" customFormat="false" ht="15" hidden="false" customHeight="true" outlineLevel="0" collapsed="false">
      <c r="A17" s="5" t="s">
        <v>68</v>
      </c>
      <c r="B17" s="5"/>
      <c r="C17" s="5"/>
      <c r="D17" s="5"/>
      <c r="E17" s="5"/>
      <c r="F17" s="5"/>
      <c r="G17" s="18" t="n">
        <f aca="false">SUMIF($H$10:$H$12,3,$G$10:$G$12)</f>
        <v>0</v>
      </c>
      <c r="H17" s="5"/>
      <c r="I17" s="5"/>
      <c r="J17" s="5"/>
      <c r="K17" s="5"/>
      <c r="L17" s="5"/>
    </row>
    <row r="18" customFormat="false" ht="1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customFormat="false" ht="15" hidden="false" customHeight="true" outlineLevel="0" collapsed="false">
      <c r="A19" s="2" t="s">
        <v>69</v>
      </c>
      <c r="B19" s="5"/>
      <c r="C19" s="5"/>
      <c r="D19" s="5"/>
      <c r="E19" s="5"/>
      <c r="F19" s="5"/>
      <c r="G19" s="20" t="n">
        <f aca="false">MAX(G15:G17)</f>
        <v>1581.42580164057</v>
      </c>
      <c r="H19" s="5"/>
      <c r="I19" s="5"/>
      <c r="J19" s="5"/>
      <c r="K19" s="5"/>
      <c r="L19" s="5"/>
    </row>
    <row r="20" customFormat="false" ht="15" hidden="false" customHeight="true" outlineLevel="0" collapsed="false">
      <c r="A20" s="3" t="s">
        <v>70</v>
      </c>
      <c r="B20" s="5"/>
      <c r="C20" s="5"/>
      <c r="D20" s="5"/>
      <c r="E20" s="5"/>
      <c r="F20" s="5"/>
      <c r="G20" s="15" t="n">
        <f aca="false">MAX(G10:G12)</f>
        <v>1512.88888888889</v>
      </c>
      <c r="H20" s="5"/>
      <c r="I20" s="5"/>
      <c r="J20" s="5"/>
      <c r="K20" s="5"/>
      <c r="L20" s="5"/>
    </row>
    <row r="21" customFormat="false" ht="15" hidden="false" customHeight="true" outlineLevel="0" collapsed="false">
      <c r="A21" s="3" t="s">
        <v>71</v>
      </c>
      <c r="B21" s="5"/>
      <c r="C21" s="5"/>
      <c r="D21" s="5"/>
      <c r="E21" s="5"/>
      <c r="F21" s="5"/>
      <c r="G21" s="15" t="n">
        <f aca="false">B7*B5</f>
        <v>6000</v>
      </c>
      <c r="H21" s="5"/>
      <c r="I21" s="5"/>
      <c r="J21" s="5"/>
      <c r="K21" s="5"/>
      <c r="L21" s="5"/>
    </row>
    <row r="22" customFormat="false" ht="15" hidden="false" customHeight="true" outlineLevel="0" collapsed="false">
      <c r="A22" s="2" t="s">
        <v>72</v>
      </c>
      <c r="B22" s="5"/>
      <c r="C22" s="5"/>
      <c r="D22" s="5"/>
      <c r="E22" s="5"/>
      <c r="F22" s="5"/>
      <c r="G22" s="20" t="n">
        <f aca="false">G19+G21</f>
        <v>7581.42580164057</v>
      </c>
      <c r="H22" s="5"/>
      <c r="I22" s="5"/>
      <c r="J22" s="5"/>
      <c r="K22" s="5"/>
      <c r="L2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0"/>
    <col collapsed="false" customWidth="true" hidden="false" outlineLevel="0" max="4" min="3" style="1" width="18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20"/>
    <col collapsed="false" customWidth="true" hidden="false" outlineLevel="0" max="8" min="8" style="1" width="16"/>
    <col collapsed="false" customWidth="true" hidden="false" outlineLevel="0" max="10" min="9" style="1" width="14"/>
  </cols>
  <sheetData>
    <row r="1" customFormat="false" ht="15" hidden="false" customHeight="true" outlineLevel="0" collapsed="false">
      <c r="A1" s="2" t="s">
        <v>73</v>
      </c>
      <c r="B1" s="5"/>
      <c r="C1" s="5"/>
      <c r="D1" s="5"/>
      <c r="E1" s="5"/>
      <c r="F1" s="5"/>
      <c r="G1" s="5"/>
      <c r="H1" s="5"/>
    </row>
    <row r="2" customFormat="false" ht="15" hidden="false" customHeight="true" outlineLevel="0" collapsed="false">
      <c r="A2" s="3" t="s">
        <v>74</v>
      </c>
      <c r="B2" s="5"/>
      <c r="C2" s="5"/>
      <c r="D2" s="5"/>
      <c r="E2" s="5"/>
      <c r="F2" s="5"/>
      <c r="G2" s="5"/>
      <c r="H2" s="5"/>
    </row>
    <row r="3" customFormat="false" ht="15" hidden="false" customHeight="true" outlineLevel="0" collapsed="false">
      <c r="A3" s="5"/>
      <c r="B3" s="5"/>
      <c r="C3" s="5"/>
      <c r="D3" s="5"/>
      <c r="E3" s="5"/>
      <c r="F3" s="5"/>
      <c r="G3" s="5"/>
      <c r="H3" s="5"/>
    </row>
    <row r="4" customFormat="false" ht="15" hidden="false" customHeight="true" outlineLevel="0" collapsed="false">
      <c r="A4" s="3" t="s">
        <v>50</v>
      </c>
      <c r="B4" s="10" t="n">
        <v>3</v>
      </c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3" t="s">
        <v>51</v>
      </c>
      <c r="B5" s="10" t="n">
        <v>1</v>
      </c>
      <c r="C5" s="5"/>
      <c r="D5" s="5"/>
      <c r="E5" s="5"/>
      <c r="F5" s="5"/>
      <c r="G5" s="5"/>
      <c r="H5" s="5"/>
    </row>
    <row r="6" customFormat="false" ht="15" hidden="false" customHeight="true" outlineLevel="0" collapsed="false">
      <c r="A6" s="3" t="s">
        <v>52</v>
      </c>
      <c r="B6" s="11" t="n">
        <v>0.75</v>
      </c>
      <c r="C6" s="5"/>
      <c r="D6" s="5"/>
      <c r="E6" s="5"/>
      <c r="F6" s="5"/>
      <c r="G6" s="5"/>
      <c r="H6" s="5"/>
    </row>
    <row r="7" customFormat="false" ht="15" hidden="false" customHeight="true" outlineLevel="0" collapsed="false">
      <c r="A7" s="3" t="s">
        <v>53</v>
      </c>
      <c r="B7" s="10" t="n">
        <v>1500</v>
      </c>
      <c r="C7" s="5"/>
      <c r="D7" s="5"/>
      <c r="E7" s="5"/>
      <c r="F7" s="5"/>
      <c r="G7" s="5"/>
      <c r="H7" s="5"/>
    </row>
    <row r="8" customFormat="false" ht="15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45" hidden="false" customHeight="true" outlineLevel="0" collapsed="false">
      <c r="A9" s="4" t="s">
        <v>20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4" t="s">
        <v>59</v>
      </c>
      <c r="H9" s="4" t="s">
        <v>60</v>
      </c>
    </row>
    <row r="10" customFormat="false" ht="15" hidden="false" customHeight="true" outlineLevel="0" collapsed="false">
      <c r="A10" s="12" t="s">
        <v>25</v>
      </c>
      <c r="B10" s="13" t="n">
        <f aca="false">Справочник!C11</f>
        <v>7.67</v>
      </c>
      <c r="C10" s="14" t="n">
        <f aca="false">B10*1000*$B$4*$B$5</f>
        <v>23010</v>
      </c>
      <c r="D10" s="14" t="n">
        <f aca="false">(1-$B$6)*C10</f>
        <v>5752.5</v>
      </c>
      <c r="E10" s="13" t="n">
        <f aca="false">Справочник!B2</f>
        <v>6</v>
      </c>
      <c r="F10" s="13" t="n">
        <f aca="false">Справочник!C2</f>
        <v>0.04</v>
      </c>
      <c r="G10" s="15" t="n">
        <f aca="false">IF(E10&gt;F10,D10/(E10-F10),"ПДК ≤ фона")</f>
        <v>965.184563758389</v>
      </c>
      <c r="H10" s="10" t="n">
        <v>1</v>
      </c>
    </row>
    <row r="11" customFormat="false" ht="15" hidden="false" customHeight="true" outlineLevel="0" collapsed="false">
      <c r="A11" s="12" t="s">
        <v>41</v>
      </c>
      <c r="B11" s="13" t="n">
        <f aca="false">Справочник!D11</f>
        <v>1.9</v>
      </c>
      <c r="C11" s="14" t="n">
        <f aca="false">B11*1000*$B$4*$B$5</f>
        <v>5700</v>
      </c>
      <c r="D11" s="14" t="n">
        <f aca="false">(1-$B$6)*C11</f>
        <v>1425</v>
      </c>
      <c r="E11" s="13" t="n">
        <f aca="false">Справочник!B3</f>
        <v>0.2</v>
      </c>
      <c r="F11" s="13" t="n">
        <f aca="false">Справочник!C3</f>
        <v>0.001</v>
      </c>
      <c r="G11" s="15" t="n">
        <f aca="false">IF(E11&gt;F11,D11/(E11-F11),"ПДК ≤ фона")</f>
        <v>7160.8040201005</v>
      </c>
      <c r="H11" s="10" t="n">
        <v>2</v>
      </c>
    </row>
    <row r="12" customFormat="false" ht="15" hidden="false" customHeight="true" outlineLevel="0" collapsed="false">
      <c r="A12" s="5"/>
      <c r="B12" s="5"/>
      <c r="C12" s="5"/>
      <c r="D12" s="5"/>
      <c r="E12" s="5"/>
      <c r="F12" s="5"/>
      <c r="G12" s="5"/>
      <c r="H12" s="5"/>
    </row>
    <row r="13" customFormat="false" ht="15" hidden="false" customHeight="true" outlineLevel="0" collapsed="false">
      <c r="A13" s="2" t="s">
        <v>65</v>
      </c>
      <c r="B13" s="5"/>
      <c r="C13" s="5"/>
      <c r="D13" s="5"/>
      <c r="E13" s="5"/>
      <c r="F13" s="5"/>
      <c r="G13" s="5"/>
      <c r="H13" s="5"/>
    </row>
    <row r="14" customFormat="false" ht="15" hidden="false" customHeight="true" outlineLevel="0" collapsed="false">
      <c r="A14" s="5" t="s">
        <v>66</v>
      </c>
      <c r="B14" s="5"/>
      <c r="C14" s="5"/>
      <c r="D14" s="5"/>
      <c r="E14" s="5"/>
      <c r="F14" s="5"/>
      <c r="G14" s="18" t="n">
        <f aca="false">SUMIF($H$10:$H$11,1,$G$10:$G$11)</f>
        <v>965.184563758389</v>
      </c>
      <c r="H14" s="5"/>
    </row>
    <row r="15" customFormat="false" ht="15" hidden="false" customHeight="true" outlineLevel="0" collapsed="false">
      <c r="A15" s="5" t="s">
        <v>67</v>
      </c>
      <c r="B15" s="5"/>
      <c r="C15" s="5"/>
      <c r="D15" s="5"/>
      <c r="E15" s="5"/>
      <c r="F15" s="5"/>
      <c r="G15" s="18" t="n">
        <f aca="false">SUMIF($H$10:$H$11,2,$G$10:$G$11)</f>
        <v>7160.8040201005</v>
      </c>
      <c r="H15" s="5"/>
    </row>
    <row r="16" customFormat="false" ht="15" hidden="false" customHeight="true" outlineLevel="0" collapsed="false">
      <c r="A16" s="5" t="s">
        <v>68</v>
      </c>
      <c r="B16" s="5"/>
      <c r="C16" s="5"/>
      <c r="D16" s="5"/>
      <c r="E16" s="5"/>
      <c r="F16" s="5"/>
      <c r="G16" s="18" t="n">
        <f aca="false">SUMIF($H$10:$H$11,3,$G$10:$G$11)</f>
        <v>0</v>
      </c>
      <c r="H16" s="5"/>
    </row>
    <row r="17" customFormat="false" ht="15" hidden="false" customHeight="true" outlineLevel="0" collapsed="false">
      <c r="A17" s="5"/>
      <c r="B17" s="5"/>
      <c r="C17" s="5"/>
      <c r="D17" s="5"/>
      <c r="E17" s="5"/>
      <c r="F17" s="5"/>
      <c r="G17" s="5"/>
      <c r="H17" s="5"/>
    </row>
    <row r="18" customFormat="false" ht="15" hidden="false" customHeight="true" outlineLevel="0" collapsed="false">
      <c r="A18" s="2" t="s">
        <v>69</v>
      </c>
      <c r="B18" s="5"/>
      <c r="C18" s="5"/>
      <c r="D18" s="5"/>
      <c r="E18" s="5"/>
      <c r="F18" s="5"/>
      <c r="G18" s="20" t="n">
        <f aca="false">MAX(G14:G16)</f>
        <v>7160.8040201005</v>
      </c>
      <c r="H18" s="5"/>
    </row>
    <row r="19" customFormat="false" ht="15" hidden="false" customHeight="true" outlineLevel="0" collapsed="false">
      <c r="A19" s="3" t="s">
        <v>70</v>
      </c>
      <c r="B19" s="5"/>
      <c r="C19" s="5"/>
      <c r="D19" s="5"/>
      <c r="E19" s="5"/>
      <c r="F19" s="5"/>
      <c r="G19" s="15" t="n">
        <f aca="false">MAX(G10:G11)</f>
        <v>7160.8040201005</v>
      </c>
      <c r="H19" s="5"/>
    </row>
    <row r="20" customFormat="false" ht="15" hidden="false" customHeight="true" outlineLevel="0" collapsed="false">
      <c r="A20" s="3" t="s">
        <v>71</v>
      </c>
      <c r="B20" s="5"/>
      <c r="C20" s="5"/>
      <c r="D20" s="5"/>
      <c r="E20" s="5"/>
      <c r="F20" s="5"/>
      <c r="G20" s="15" t="n">
        <f aca="false">B7*B5</f>
        <v>1500</v>
      </c>
      <c r="H20" s="5"/>
    </row>
    <row r="21" customFormat="false" ht="15" hidden="false" customHeight="true" outlineLevel="0" collapsed="false">
      <c r="A21" s="2" t="s">
        <v>72</v>
      </c>
      <c r="B21" s="5"/>
      <c r="C21" s="5"/>
      <c r="D21" s="5"/>
      <c r="E21" s="5"/>
      <c r="F21" s="5"/>
      <c r="G21" s="20" t="n">
        <f aca="false">G18+G20</f>
        <v>8660.8040201005</v>
      </c>
      <c r="H21" s="5"/>
    </row>
    <row r="22" customFormat="false" ht="15" hidden="false" customHeight="true" outlineLevel="0" collapsed="false">
      <c r="A22" s="5"/>
      <c r="B22" s="5"/>
      <c r="C22" s="5"/>
      <c r="D22" s="5"/>
      <c r="E22" s="5"/>
      <c r="F22" s="5"/>
      <c r="G22" s="5"/>
      <c r="H22" s="5"/>
    </row>
    <row r="23" customFormat="false" ht="15" hidden="false" customHeight="true" outlineLevel="0" collapsed="false">
      <c r="A23" s="5"/>
      <c r="B23" s="5"/>
      <c r="C23" s="5"/>
      <c r="D23" s="5"/>
      <c r="E23" s="5"/>
      <c r="F23" s="5"/>
      <c r="G23" s="5"/>
      <c r="H23" s="5"/>
    </row>
    <row r="24" customFormat="false" ht="15" hidden="false" customHeight="true" outlineLevel="0" collapsed="false">
      <c r="A24" s="2" t="s">
        <v>75</v>
      </c>
      <c r="B24" s="5"/>
      <c r="C24" s="5"/>
      <c r="D24" s="5"/>
      <c r="E24" s="5"/>
      <c r="F24" s="5"/>
      <c r="G24" s="5"/>
      <c r="H24" s="5"/>
    </row>
    <row r="25" customFormat="false" ht="39" hidden="false" customHeight="true" outlineLevel="0" collapsed="false">
      <c r="A25" s="4" t="s">
        <v>76</v>
      </c>
      <c r="B25" s="4" t="s">
        <v>77</v>
      </c>
      <c r="C25" s="4" t="s">
        <v>78</v>
      </c>
      <c r="D25" s="4" t="s">
        <v>79</v>
      </c>
      <c r="E25" s="4" t="s">
        <v>80</v>
      </c>
      <c r="F25" s="5"/>
      <c r="G25" s="5"/>
      <c r="H25" s="5"/>
    </row>
    <row r="26" customFormat="false" ht="15" hidden="false" customHeight="true" outlineLevel="0" collapsed="false">
      <c r="A26" s="11" t="n">
        <v>0.6</v>
      </c>
      <c r="B26" s="21" t="n">
        <f aca="false">(1-A26)*C11/(E11-F11)</f>
        <v>11457.2864321608</v>
      </c>
      <c r="C26" s="21" t="n">
        <f aca="false">(1-A26)*C10/(E10-F10)</f>
        <v>1544.29530201342</v>
      </c>
      <c r="D26" s="21" t="n">
        <f aca="false">MAX(B26:C26)</f>
        <v>11457.2864321608</v>
      </c>
      <c r="E26" s="21" t="n">
        <f aca="false">D26+$B$7*$B$5</f>
        <v>12957.2864321608</v>
      </c>
      <c r="F26" s="5"/>
      <c r="G26" s="5"/>
      <c r="H26" s="5"/>
    </row>
    <row r="27" customFormat="false" ht="15" hidden="false" customHeight="true" outlineLevel="0" collapsed="false">
      <c r="A27" s="11" t="n">
        <v>0.75</v>
      </c>
      <c r="B27" s="21" t="n">
        <f aca="false">(1-A27)*C11/(E11-F11)</f>
        <v>7160.8040201005</v>
      </c>
      <c r="C27" s="21" t="n">
        <f aca="false">(1-A27)*C10/(E10-F10)</f>
        <v>965.184563758389</v>
      </c>
      <c r="D27" s="21" t="n">
        <f aca="false">MAX(B27:C27)</f>
        <v>7160.8040201005</v>
      </c>
      <c r="E27" s="21" t="n">
        <f aca="false">D27+$B$7*$B$5</f>
        <v>8660.8040201005</v>
      </c>
      <c r="F27" s="5"/>
      <c r="G27" s="5"/>
      <c r="H27" s="5"/>
    </row>
    <row r="28" customFormat="false" ht="15" hidden="false" customHeight="true" outlineLevel="0" collapsed="false">
      <c r="A28" s="11" t="n">
        <v>0.9</v>
      </c>
      <c r="B28" s="21" t="n">
        <f aca="false">(1-A28)*C11/(E11-F11)</f>
        <v>2864.3216080402</v>
      </c>
      <c r="C28" s="21" t="n">
        <f aca="false">(1-A28)*C10/(E10-F10)</f>
        <v>386.073825503356</v>
      </c>
      <c r="D28" s="21" t="n">
        <f aca="false">MAX(B28:C28)</f>
        <v>2864.3216080402</v>
      </c>
      <c r="E28" s="21" t="n">
        <f aca="false">D28+$B$7*$B$5</f>
        <v>4364.3216080402</v>
      </c>
      <c r="F28" s="5"/>
      <c r="G28" s="5"/>
      <c r="H28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2026-10-09T15:40:02Z</dcterms:created>
  <dc:creator>openpyxl</dc:creator>
  <dc:description/>
  <dc:language>en-US</dc:language>
  <cp:lastModifiedBy/>
  <dcterms:modified xsi:type="dcterms:W3CDTF">2026-10-10T15:58:14Z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