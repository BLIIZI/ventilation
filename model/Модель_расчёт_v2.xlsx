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читать" sheetId="1" state="visible" r:id="rId3"/>
    <sheet name="Источники" sheetId="2" state="visible" r:id="rId4"/>
    <sheet name="1 Исходные" sheetId="3" state="visible" r:id="rId5"/>
    <sheet name="2 Выделения" sheetId="4" state="visible" r:id="rId6"/>
    <sheet name="3 СП 60" sheetId="5" state="visible" r:id="rId7"/>
    <sheet name="4 Таблицы" sheetId="6" state="visible" r:id="rId8"/>
    <sheet name="5 Потери" sheetId="7" state="visible" r:id="rId9"/>
    <sheet name="6 Вентилятор" sheetId="8" state="visible" r:id="rId10"/>
    <sheet name="7 Тепло" sheetId="9" state="visible" r:id="rId11"/>
    <sheet name="8 Сверка" sheetId="10" state="visible" r:id="rId12"/>
    <sheet name="9 Результаты смены" sheetId="11" state="visible" r:id="rId13"/>
    <sheet name="10 Регулирование" sheetId="12" state="visible" r:id="rId14"/>
    <sheet name="11 Динамика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1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24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J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1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28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</commentList>
</comments>
</file>

<file path=xl/sharedStrings.xml><?xml version="1.0" encoding="utf-8"?>
<sst xmlns="http://schemas.openxmlformats.org/spreadsheetml/2006/main" count="1288" uniqueCount="851">
  <si>
    <t xml:space="preserve">Книга «Модель расчёт v2» — стационарная часть математической модели местной вытяжной вентиляции сварочного участка</t>
  </si>
  <si>
    <t xml:space="preserve">Версия 12.10.2026. Каждая цифра здесь считается формулой Excel — можно поменять синюю ячейку и увидеть, как меняется всё остальное.</t>
  </si>
  <si>
    <t xml:space="preserve">ЦВЕТА</t>
  </si>
  <si>
    <t xml:space="preserve">Синий шрифт на жёлтом — исходные данные (их можно менять). У каждого — источник в последней колонке.</t>
  </si>
  <si>
    <t xml:space="preserve">Чёрный шрифт — формула. Зелёный — формула-ссылка на ячейку другого листа.</t>
  </si>
  <si>
    <t xml:space="preserve">Оранжевая заливка — число, которое посчитало расчётное ядро (программа на TypeScript, папка vent-sim). Нужно только для сверки на листе «8 Сверка».</t>
  </si>
  <si>
    <t xml:space="preserve">СТАТУСЫ ИСТОЧНИКОВ</t>
  </si>
  <si>
    <t xml:space="preserve">[Н] — норматив РФ (ГОСТ, СП, СанПиН, методика из перечня Минприроды).  [С] — российский справочник или учебник.</t>
  </si>
  <si>
    <t xml:space="preserve">[Д] — допущение демонстрационного примера (заменяется паспортом оборудования реального объекта).  [А] — параметр, выбранный автором (проверена чувствительность).</t>
  </si>
  <si>
    <t xml:space="preserve">[П] — источник найден, но страницу/таблицу надо сверить по бумажной книге.  [М] — инженерная модель (приём расчёта, не норматив).</t>
  </si>
  <si>
    <t xml:space="preserve">ПОРЯДОК ЛИСТОВ = ПОРЯДОК РАСЧЁТА</t>
  </si>
  <si>
    <t xml:space="preserve">1 Исходные — все входные величины в одном месте.</t>
  </si>
  <si>
    <t xml:space="preserve">2 Выделения — сколько вредных веществ выделяет сварка: расход проволоки от тока → граммы в час каждого вещества → сколько ловит отсос, сколько уходит в цех.</t>
  </si>
  <si>
    <t xml:space="preserve">3 СП 60 — сколько воздуха надо подать в цех, чтобы концентрация не превысила ПДК (формула СП 60.13330.2020). Главное: местные отсосы тоже уносят воздух из цеха, их расход вычитается.</t>
  </si>
  <si>
    <t xml:space="preserve">4 Таблицы Идельчика — заслонка ζ(α) (диагр. 9-17), коэффициент A₁ отвода (диагр. 6-1), диффузор при n = 2 (диагр. 5-2).</t>
  </si>
  <si>
    <t xml:space="preserve">5 Потери — потери давления на КАЖДОМ элементе сети (зонт, воздуховод, отводы, заслонка, тройники, переходы, фильтр, выход) при пусконаладочном режиме 3 × 1500 м³/ч.</t>
  </si>
  <si>
    <t xml:space="preserve">   Там же проверка: по закону сохранения энергии сумма потерь по пути от любого поста до выброса должна равняться давлению вентилятора.</t>
  </si>
  <si>
    <t xml:space="preserve">6 Вентилятор — давление по характеристике и законам подобия, мощность на валу, КПД двигателя и частотника, электрическая мощность.</t>
  </si>
  <si>
    <t xml:space="preserve">7 Тепло — сколько тепла уходит на нагрев приточного воздуха (весь удалённый воздух замещается подогретым наружным).</t>
  </si>
  <si>
    <t xml:space="preserve">8 Сверка — Excel против ядра: если разница &lt; 0,1 %, ячейка зелёная.</t>
  </si>
  <si>
    <t xml:space="preserve">9 Результаты смены — итоги динамического расчёта 8-часовой смены (в Excel их не повторить: нужен шаг по времени 1 с × 28 800 шагов, это делает ядро).</t>
  </si>
  <si>
    <t xml:space="preserve">10 Регулирование — пусконаладка предлагаемой системы (почему углы 0/5/8°) и стандарта (углы при номинальной частоте), один шаг ПИ-регулятора заслонки с подстановкой, правило частотника, скорость привода.</t>
  </si>
  <si>
    <t xml:space="preserve">11 Динамика — как растёт концентрация в цехе после включения постов: C(t), постоянная времени τ = V/L. Зачем нужны размеры цеха.</t>
  </si>
  <si>
    <t xml:space="preserve">Источники — все нормативы и справочники со ссылками на тексты и статусом актуальности.</t>
  </si>
  <si>
    <t xml:space="preserve">ЧЕГО В EXCEL НЕТ И ПОЧЕМУ</t>
  </si>
  <si>
    <t xml:space="preserve">Решение сети (какой расход установится при данных углах заслонок) — это система нелинейных уравнений, её решает ядро методом Ньютона. Excel берёт готовые расходы постов и ПРОВЕРЯЕТ, что они действительно решение (баланс давлений по всем путям).</t>
  </si>
  <si>
    <t xml:space="preserve">Регуляторы (ПИ-регулятор заслонок, частотник, общеобменная по датчикам) работают во времени — только в ядре. Их результаты — лист 9, их правила с подстановкой (один шаг) — лист 10, сверка шага с ядром — лист 8.</t>
  </si>
  <si>
    <t xml:space="preserve">ЧТО ИСПРАВЛЕНО 11.10.2026 (честно)</t>
  </si>
  <si>
    <t xml:space="preserve">1. Общеобменная вентиляция считалась без учёта воздуха местных отсосов (L_wz в формуле СП 60). Ошибка в запас, но завышала общеобменную на 4500 м³/ч (3 поста): 12 601 → 8 101 м³/ч. В дипломе это не ошибка: там переносной электрофильтр возвращает воздух в цех (L_wz = 0) — см. лист 3, последний раздел.</t>
  </si>
  <si>
    <t xml:space="preserve">   Следствие: прежние цифры экономии тепла от общеобменной по потребности (−37…−56 %) были завышены. Пересчитано (лист 9).</t>
  </si>
  <si>
    <t xml:space="preserve">2. Боковой вход тройника: в формуле Идельчика есть поправка A (0,55…1 в зависимости от F_б/F_с и Q_б/Q_с). Было A = 1 — завышало потери бокового входа до 1,8 раза при F_б/F_с &gt; 0,35.</t>
  </si>
  <si>
    <t xml:space="preserve">3. Энергия вентилятора общеобменной: при регулировании по выделениям расход бывает больше расчётного; вентилятор теперь подбирается на максимальный расход (иначе мощность считалась при нереальном давлении).</t>
  </si>
  <si>
    <t xml:space="preserve">Источники: нормативы и справочники, на которых стоит каждая формула и каждое число</t>
  </si>
  <si>
    <t xml:space="preserve">Актуальность нормативов проверена 11.10.2026. Ссылка ведёт на текст документа или на его карточку в официальном каталоге. [Н] — норматив РФ, [С] — справочник/учебник.</t>
  </si>
  <si>
    <t xml:space="preserve">№</t>
  </si>
  <si>
    <t xml:space="preserve">Документ</t>
  </si>
  <si>
    <t xml:space="preserve">Что из него взято</t>
  </si>
  <si>
    <t xml:space="preserve">Где в книге</t>
  </si>
  <si>
    <t xml:space="preserve">Статус на 10.2026</t>
  </si>
  <si>
    <t xml:space="preserve">Ссылка</t>
  </si>
  <si>
    <t xml:space="preserve">СП 60.13330.2020 «Отопление, вентиляция и кондиционирование воздуха» (с изм. № 1–6) [Н]</t>
  </si>
  <si>
    <t xml:space="preserve">Прил. Г, ф. (Г.2) — воздухообмен по вредным веществам с учётом местных отсосов; п. 7.4.1 — запрет расчёта по кратности для рабочей зоны; п. 7.4.3 — суммирование однонаправленных веществ; п. 5.11 — приток ≤ 30 % ПДК</t>
  </si>
  <si>
    <t xml:space="preserve">лист 3</t>
  </si>
  <si>
    <t xml:space="preserve">действует; использованные пункты изменениями 1–6 не затронуты</t>
  </si>
  <si>
    <t xml:space="preserve">https://base.garant.ru/400536193/</t>
  </si>
  <si>
    <t xml:space="preserve">СанПиН 1.2.3685-21 «Гигиенические нормативы и требования к обеспечению безопасности и (или) безвредности для человека факторов среды обитания» [Н]</t>
  </si>
  <si>
    <t xml:space="preserve">Табл. 2.1 — ПДК в воздухе рабочей зоны: Mn в сварочном аэрозоле 0,6/0,2; Fe₂O₃ 6; SiO₂ 3/1; табл. 1.1 — ПДК атмосферного воздуха (фон притока)</t>
  </si>
  <si>
    <t xml:space="preserve">листы 1, 3</t>
  </si>
  <si>
    <t xml:space="preserve">действует (ред. от 24.12.2025), срок — до 01.03.2027</t>
  </si>
  <si>
    <t xml:space="preserve">https://www.consultant.ru/document/cons_doc_LAW_375839/</t>
  </si>
  <si>
    <t xml:space="preserve">ГОСТ 12.3.003-86 «ССБТ. Работы электросварочные. Требования безопасности» [Н]</t>
  </si>
  <si>
    <t xml:space="preserve">П. 2.11.1 — местный отсос сварочного стола не менее 1500 м³/ч</t>
  </si>
  <si>
    <t xml:space="preserve">листы 1, 10</t>
  </si>
  <si>
    <t xml:space="preserve">действует</t>
  </si>
  <si>
    <t xml:space="preserve">https://meganorm.ru/Index1/7/7136.htm</t>
  </si>
  <si>
    <t xml:space="preserve">ГОСТ 12.1.005-88 «ССБТ. Общие санитарно-гигиенические требования к воздуху рабочей зоны» [Н]</t>
  </si>
  <si>
    <t xml:space="preserve">Табл. 1 — микроклимат: категория IIб, холодный период — 17–19 °C; п. 3.4 — Σ C/ПДК ≤ 1</t>
  </si>
  <si>
    <t xml:space="preserve">лист 1</t>
  </si>
  <si>
    <t xml:space="preserve">https://legalacts.ru/doc/gost-121005-88-mezhgosudarstvennyi-standart-sistema-standartov-bezopasnosti/</t>
  </si>
  <si>
    <t xml:space="preserve">ГОСТ Р 56164-2014 «Выбросы загрязняющих веществ в атмосферу. Метод расчёта выбросов при сварочных работах на основе удельных показателей» [Н]</t>
  </si>
  <si>
    <t xml:space="preserve">Табл. 1 — удельные выделения на 1 кг проволоки Св-08Г2С (10,0 / 7,67 / 1,90 / 0,43 г/кг)</t>
  </si>
  <si>
    <t xml:space="preserve">листы 1, 2</t>
  </si>
  <si>
    <t xml:space="preserve">действует с 01.07.2015</t>
  </si>
  <si>
    <t xml:space="preserve">https://cn.gostinfo.ru/catalog/Details/?id=5484995</t>
  </si>
  <si>
    <t xml:space="preserve">Методика расчёта выделений (выбросов) загрязняющих веществ в атмосферу при сварочных работах (на основе удельных показателей). — СПб.: НИИ Атмосфера, 1997 (изд. 2021) [Н]</t>
  </si>
  <si>
    <t xml:space="preserve">Табл. 1 — те же удельные выделения; разд. 2.1, прим. 1 — η = 0,8 при отсутствии данных</t>
  </si>
  <si>
    <t xml:space="preserve">в перечне методик Минприроды (распоряжение № 35-р от 14.12.2020)</t>
  </si>
  <si>
    <t xml:space="preserve">PDF издания 2021 г. — у автора</t>
  </si>
  <si>
    <t xml:space="preserve">СП 131.13330.2025 «Строительная климатология» [Н]</t>
  </si>
  <si>
    <t xml:space="preserve">Табл. 5.1 — Москва: средняя температура отопительного периода −1,7 °C, продолжительность 202 сут</t>
  </si>
  <si>
    <t xml:space="preserve">листы 1, 7</t>
  </si>
  <si>
    <t xml:space="preserve">текст сверен 11.10.2026 (PDF — у автора)</t>
  </si>
  <si>
    <t xml:space="preserve">ГОСТ 10921-2017 «Вентиляторы радиальные и осевые. Методы аэродинамических испытаний» [Н]</t>
  </si>
  <si>
    <t xml:space="preserve">Разд. 14 — пересчёт характеристики на другую частоту (Q ~ n, p ~ n²); стандартные условия ρ = 1,2 кг/м³</t>
  </si>
  <si>
    <t xml:space="preserve">листы 1, 6</t>
  </si>
  <si>
    <t xml:space="preserve">https://meganorm.ru/Index/69/69841.htm</t>
  </si>
  <si>
    <t xml:space="preserve">ГОСТ IEC 60034-30-1-2016 «Машины электрические вращающиеся. Классы КПД» [Н]</t>
  </si>
  <si>
    <t xml:space="preserve">Табл. 1 — КПД двигателя IE3 2,2 кВт, 4 полюса: 86,7 %</t>
  </si>
  <si>
    <t xml:space="preserve">лист 6</t>
  </si>
  <si>
    <t xml:space="preserve">https://cn.gostinfo.ru/catalog/Details/?id=6316233</t>
  </si>
  <si>
    <t xml:space="preserve">ГОСТ 7192-89 «Механизмы исполнительные электрические постоянной скорости ГСП» [Н]</t>
  </si>
  <si>
    <t xml:space="preserve">Ряд времени полного хода (… 8; 10; 15; 25; 30; 63 … с)</t>
  </si>
  <si>
    <t xml:space="preserve">лист 10</t>
  </si>
  <si>
    <t xml:space="preserve">https://dnaop.com/html/69390/doc-%D0%93%D0%9E%D0%A1%D0%A2_7192-89</t>
  </si>
  <si>
    <t xml:space="preserve">Идельчик И.Е. Справочник по гидравлическим сопротивлениям / под ред. М.О. Штейнберга. — 3-е изд. — М.: Машиностроение, 1992. — 672 с. [С]</t>
  </si>
  <si>
    <t xml:space="preserve">Диагр. 3-6 (с. 127) — вход в зонт; 5-2 (с. 211) и ф. (5-6), (5-7) — диффузор; 6-1 (с. 277–278) — отводы; 7-4 (с. 346) и табл. 7-1 (с. 335) — тройники; 9-17 (с. 452–453) — заслонка</t>
  </si>
  <si>
    <t xml:space="preserve">листы 4, 5</t>
  </si>
  <si>
    <t xml:space="preserve">справочник; страницы сверены по книге</t>
  </si>
  <si>
    <t xml:space="preserve">книга (PDF — у автора)</t>
  </si>
  <si>
    <t xml:space="preserve">Альтшуль А.Д. Гидравлические сопротивления. — М.: Недра, 1982 [С]</t>
  </si>
  <si>
    <t xml:space="preserve">Формула трения λ = 0,11·(kэ/d + 68/Re)^0,25</t>
  </si>
  <si>
    <t xml:space="preserve">лист 5</t>
  </si>
  <si>
    <t xml:space="preserve">справочник</t>
  </si>
  <si>
    <t xml:space="preserve">книга</t>
  </si>
  <si>
    <t xml:space="preserve">Справочник проектировщика. Внутренние санитарно-технические устройства. Ч. 3, кн. 2 / под ред. Н.Н. Павлова, Ю.И. Шиллера. — М.: Стройиздат, 1992 [С]</t>
  </si>
  <si>
    <t xml:space="preserve">Шероховатость стальных воздуховодов kэ = 0,1 мм</t>
  </si>
  <si>
    <t xml:space="preserve">листы 1, 5</t>
  </si>
  <si>
    <t xml:space="preserve">справочник [П: страница]</t>
  </si>
  <si>
    <t xml:space="preserve">Соколов Г.Н. и др. Технология и материалы для сварки и наплавки. — Волгоград: ВолгГТУ, 2016 [С]</t>
  </si>
  <si>
    <t xml:space="preserve">Ф. (3.22) — коэффициент расплавления α_р</t>
  </si>
  <si>
    <t xml:space="preserve">лист 2</t>
  </si>
  <si>
    <t xml:space="preserve">учебное пособие [П: страница]</t>
  </si>
  <si>
    <t xml:space="preserve">Варгафтик Н.Б. Справочник по теплофизическим свойствам газов и жидкостей. — М.: Наука, 1972 [С]</t>
  </si>
  <si>
    <t xml:space="preserve">Вязкость ν = 15,06·10⁻⁶ м²/с и теплоёмкость c = 1,005 кДж/(кг·°C) воздуха при 20 °C</t>
  </si>
  <si>
    <t xml:space="preserve">Ужов В.Н., Мягков Б.И. Очистка промышленных газов фильтрами. — М.: Химия, 1970 [С]</t>
  </si>
  <si>
    <t xml:space="preserve">Сопротивление фильтра пропорционально расходу (закон Дарси)</t>
  </si>
  <si>
    <t xml:space="preserve">Копылов И.П. Электрические машины: учебник [С]</t>
  </si>
  <si>
    <t xml:space="preserve">Разделение потерь двигателя на постоянные и переменные — КПД при неполной загрузке</t>
  </si>
  <si>
    <t xml:space="preserve">учебник [П: страница]</t>
  </si>
  <si>
    <t xml:space="preserve">Зарубежные источники в расчёте не используются, кроме типовой таблицы КПД частотника (US DOE) — до паспорта ПЧ (лист 6).</t>
  </si>
  <si>
    <t xml:space="preserve">Исходные данные</t>
  </si>
  <si>
    <t xml:space="preserve">Все величины, от которых зависит расчёт. Меняйте только синие ячейки. Источник каждой — в колонке H.</t>
  </si>
  <si>
    <t xml:space="preserve">Величина</t>
  </si>
  <si>
    <t xml:space="preserve">Обозн.</t>
  </si>
  <si>
    <t xml:space="preserve">Значение</t>
  </si>
  <si>
    <t xml:space="preserve">Ед.</t>
  </si>
  <si>
    <t xml:space="preserve">Формула (как в книге)</t>
  </si>
  <si>
    <t xml:space="preserve">Простыми словами — что это и зачем</t>
  </si>
  <si>
    <t xml:space="preserve">Источник / статус</t>
  </si>
  <si>
    <t xml:space="preserve">Воздух</t>
  </si>
  <si>
    <t xml:space="preserve">Плотность воздуха</t>
  </si>
  <si>
    <t xml:space="preserve">ρ</t>
  </si>
  <si>
    <t xml:space="preserve">кг/м³</t>
  </si>
  <si>
    <t xml:space="preserve">—</t>
  </si>
  <si>
    <t xml:space="preserve">Сколько весит кубометр воздуха. 1,2 — стандартные условия, при которых испытывают вентиляторы.</t>
  </si>
  <si>
    <t xml:space="preserve">ГОСТ 10921-2017, разд. 14 [Н]</t>
  </si>
  <si>
    <t xml:space="preserve">Кинематическая вязкость воздуха (20 °C)</t>
  </si>
  <si>
    <t xml:space="preserve">ν</t>
  </si>
  <si>
    <t xml:space="preserve">м²/с</t>
  </si>
  <si>
    <t xml:space="preserve">Насколько воздух «вязкий». Нужна для числа Рейнольдса (режим течения).</t>
  </si>
  <si>
    <t xml:space="preserve">Варгафтик Н.Б., 1972 [С][П]</t>
  </si>
  <si>
    <t xml:space="preserve">Теплоёмкость воздуха</t>
  </si>
  <si>
    <t xml:space="preserve">c</t>
  </si>
  <si>
    <t xml:space="preserve">кДж/(кг·°C)</t>
  </si>
  <si>
    <t xml:space="preserve">Сколько тепла надо, чтобы нагреть 1 кг воздуха на 1 °C.</t>
  </si>
  <si>
    <t xml:space="preserve">Воздуховоды</t>
  </si>
  <si>
    <t xml:space="preserve">Эквивалентная шероховатость стали</t>
  </si>
  <si>
    <t xml:space="preserve">kэ</t>
  </si>
  <si>
    <t xml:space="preserve">м</t>
  </si>
  <si>
    <t xml:space="preserve">Насколько шершавая стенка воздуховода — влияет на трение.</t>
  </si>
  <si>
    <t xml:space="preserve">Справочник проектировщика, ч. 3, кн. 2, 1992; Альтшуль, 1982 [С][П]</t>
  </si>
  <si>
    <t xml:space="preserve">Минимальная транспортная скорость</t>
  </si>
  <si>
    <t xml:space="preserve">w_мин</t>
  </si>
  <si>
    <t xml:space="preserve">м/с</t>
  </si>
  <si>
    <t xml:space="preserve">Ниже этой скорости сварочная пыль начинает оседать в воздуховоде.</t>
  </si>
  <si>
    <t xml:space="preserve">Боломатов В.Н., АВОК, 2021, № 3, табл. 4 (8–14 м/с) [С]</t>
  </si>
  <si>
    <t xml:space="preserve">Сварка</t>
  </si>
  <si>
    <t xml:space="preserve">Число постов</t>
  </si>
  <si>
    <t xml:space="preserve">n</t>
  </si>
  <si>
    <t xml:space="preserve">шт</t>
  </si>
  <si>
    <t xml:space="preserve">Сколько сварщиков работает одновременно (расчётный случай — все сразу).</t>
  </si>
  <si>
    <t xml:space="preserve">Демо-пример (диплом) [Д]</t>
  </si>
  <si>
    <t xml:space="preserve">Сварочный ток</t>
  </si>
  <si>
    <t xml:space="preserve">I</t>
  </si>
  <si>
    <t xml:space="preserve">А</t>
  </si>
  <si>
    <t xml:space="preserve">Ток полуавтомата. Чем больше ток, тем больше плавится проволоки и больше дыма.</t>
  </si>
  <si>
    <t xml:space="preserve">Режим для Ø1,2 мм [Д]</t>
  </si>
  <si>
    <t xml:space="preserve">Диаметр проволоки</t>
  </si>
  <si>
    <t xml:space="preserve">d</t>
  </si>
  <si>
    <t xml:space="preserve">мм</t>
  </si>
  <si>
    <t xml:space="preserve">Св-08Г2С Ø1,2 [Д]</t>
  </si>
  <si>
    <t xml:space="preserve">Вылет электрода</t>
  </si>
  <si>
    <t xml:space="preserve">l</t>
  </si>
  <si>
    <t xml:space="preserve">Длина проволоки от токоподвода до дуги (10–20 мм).</t>
  </si>
  <si>
    <t xml:space="preserve">Соколов и др., ВолгГТУ, 2016 [С]</t>
  </si>
  <si>
    <t xml:space="preserve">Расход местного отсоса на пост</t>
  </si>
  <si>
    <t xml:space="preserve">Q_тр</t>
  </si>
  <si>
    <t xml:space="preserve">м³/ч</t>
  </si>
  <si>
    <t xml:space="preserve">Минимум по ГОСТ для сварочного стола.</t>
  </si>
  <si>
    <t xml:space="preserve">ГОСТ 12.3.003-86, п. 2.11.1 [Н]</t>
  </si>
  <si>
    <t xml:space="preserve">Эффективность местного отсоса</t>
  </si>
  <si>
    <t xml:space="preserve">η</t>
  </si>
  <si>
    <t xml:space="preserve">Какую долю дыма ловит отсос. Остальное (20 %) уходит в цех.</t>
  </si>
  <si>
    <t xml:space="preserve">Методика 1997 (приказ Госкомэкологии № 158), разд. 2.1, прим. 1 [Н]</t>
  </si>
  <si>
    <t xml:space="preserve">Удельные выделения, г на 1 кг проволоки Св-08Г2С (сварка в CO₂)</t>
  </si>
  <si>
    <t xml:space="preserve">Сварочный аэрозоль (всего)</t>
  </si>
  <si>
    <t xml:space="preserve">g_аэр</t>
  </si>
  <si>
    <t xml:space="preserve">г/кг</t>
  </si>
  <si>
    <t xml:space="preserve">Сколько всего дыма (твёрдых частиц) на килограмм проволоки.</t>
  </si>
  <si>
    <t xml:space="preserve">Методика 1997, табл. 1 [Н]</t>
  </si>
  <si>
    <t xml:space="preserve">в т.ч. железа оксид</t>
  </si>
  <si>
    <t xml:space="preserve">g_Fe</t>
  </si>
  <si>
    <t xml:space="preserve">там же [Н]</t>
  </si>
  <si>
    <t xml:space="preserve">в т.ч. марганец и его соединения</t>
  </si>
  <si>
    <t xml:space="preserve">g_Mn</t>
  </si>
  <si>
    <t xml:space="preserve">Самое вредное в сварочном дыме — по нему считается вентиляция.</t>
  </si>
  <si>
    <t xml:space="preserve">Методика 1997 (изд. 2021), табл. 1, столбец 5 «марганец и его соединения» — по Mn, без пересчёта на MnO₂ [Н] (сверено)</t>
  </si>
  <si>
    <t xml:space="preserve">в т.ч. пыль с SiO₂</t>
  </si>
  <si>
    <t xml:space="preserve">g_SiO₂</t>
  </si>
  <si>
    <t xml:space="preserve">ПДК (рабочая зона) и фон в приточном воздухе</t>
  </si>
  <si>
    <t xml:space="preserve">ПДК марганца (сварочный аэрозоль, Mn ≤ 20 %), среднесменная</t>
  </si>
  <si>
    <t xml:space="preserve">ПДК_Mn</t>
  </si>
  <si>
    <t xml:space="preserve">мг/м³</t>
  </si>
  <si>
    <t xml:space="preserve">Предельная концентрация в воздухе рабочей зоны. Берём среднесменную (строже максимально разовой 0,6) — в запас.</t>
  </si>
  <si>
    <t xml:space="preserve">СанПиН 1.2.3685-21, табл. 2.1 [Н] (сверено)</t>
  </si>
  <si>
    <t xml:space="preserve">Марганец в приточном (наружном) воздухе</t>
  </si>
  <si>
    <t xml:space="preserve">q_пр,Mn</t>
  </si>
  <si>
    <t xml:space="preserve">Сколько марганца уже есть в наружном воздухе. Берём ПДК атмосферы — верхняя оценка.</t>
  </si>
  <si>
    <t xml:space="preserve">СанПиН 1.2.3685-21, табл. 1.1, поз. 302 [Н]; СП 60, п. 5.11</t>
  </si>
  <si>
    <t xml:space="preserve">ПДК железа оксида</t>
  </si>
  <si>
    <t xml:space="preserve">ПДК_Fe</t>
  </si>
  <si>
    <t xml:space="preserve">СанПиН 1.2.3685-21, табл. 2.1, стр. 1031 «диЖелезо триоксид», Ф, 4 кл. [Н] (сверено)</t>
  </si>
  <si>
    <t xml:space="preserve">Железа оксид в приточном воздухе</t>
  </si>
  <si>
    <t xml:space="preserve">q_пр,Fe</t>
  </si>
  <si>
    <t xml:space="preserve">СанПиН, табл. 1.1 (ПДК с.с. атм.) [П]</t>
  </si>
  <si>
    <t xml:space="preserve">ПДК кремния диоксида аморфного (аэрозоль конденсации), с.с.</t>
  </si>
  <si>
    <t xml:space="preserve">ПДК_SiO₂</t>
  </si>
  <si>
    <t xml:space="preserve">СанПиН 1.2.3685-21, табл. 2.1, стр. 1150 (3/1 мг/м³) [Н] (сверено)</t>
  </si>
  <si>
    <t xml:space="preserve">Климат (холодный период) и помещение</t>
  </si>
  <si>
    <t xml:space="preserve">Температура в цехе</t>
  </si>
  <si>
    <t xml:space="preserve">t_в</t>
  </si>
  <si>
    <t xml:space="preserve">°C</t>
  </si>
  <si>
    <t xml:space="preserve">Середина оптимума 17–19 °C для работ категории IIб.</t>
  </si>
  <si>
    <t xml:space="preserve">ГОСТ 12.1.005-88, табл. 1: категория IIб, холодный период — оптимум 17–19 °C [Н] (сверено)</t>
  </si>
  <si>
    <t xml:space="preserve">Средняя температура отопительного периода (Москва)</t>
  </si>
  <si>
    <t xml:space="preserve">t_оп</t>
  </si>
  <si>
    <t xml:space="preserve">Средняя температура наружного воздуха за отопительный период.</t>
  </si>
  <si>
    <t xml:space="preserve">СП 131.13330.2025, табл. 5.1 [Н]</t>
  </si>
  <si>
    <t xml:space="preserve">Продолжительность отопительного периода</t>
  </si>
  <si>
    <t xml:space="preserve">z_оп</t>
  </si>
  <si>
    <t xml:space="preserve">сут</t>
  </si>
  <si>
    <t xml:space="preserve">Длительность смены</t>
  </si>
  <si>
    <t xml:space="preserve">t_см</t>
  </si>
  <si>
    <t xml:space="preserve">ч</t>
  </si>
  <si>
    <t xml:space="preserve">[Д]</t>
  </si>
  <si>
    <t xml:space="preserve">Объём цеха</t>
  </si>
  <si>
    <t xml:space="preserve">V</t>
  </si>
  <si>
    <t xml:space="preserve">м³</t>
  </si>
  <si>
    <t xml:space="preserve">48 × 24 × 14,4 м</t>
  </si>
  <si>
    <t xml:space="preserve">Нужен для динамики (как быстро растёт концентрация), на стационарный расчёт не влияет.</t>
  </si>
  <si>
    <t xml:space="preserve">Диплом [Д]</t>
  </si>
  <si>
    <t xml:space="preserve">Выделение вредных веществ при сварке</t>
  </si>
  <si>
    <t xml:space="preserve">Шаг 1: по току считаем, сколько проволоки плавится в час. Шаг 2: умножаем на удельные выделения из Методики. Шаг 3: делим — η ловит отсос, (1 − η) уходит в цех.</t>
  </si>
  <si>
    <t xml:space="preserve">Расход проволоки</t>
  </si>
  <si>
    <t xml:space="preserve">Коэффициент расплавления</t>
  </si>
  <si>
    <t xml:space="preserve">α_р</t>
  </si>
  <si>
    <t xml:space="preserve">г/(А·ч)</t>
  </si>
  <si>
    <t xml:space="preserve">α_р = 9,05 + 3,1·10⁻⁴·I·l/d²</t>
  </si>
  <si>
    <t xml:space="preserve">Сколько граммов проволоки плавит каждый ампер за час. Растёт с током и вылетом (проволока подогревается током).</t>
  </si>
  <si>
    <t xml:space="preserve">Соколов Г.Н. и др. Технология и материалы для сварки и наплавки. ВолгГТУ, 2016, ф. (3.22) [С][П]</t>
  </si>
  <si>
    <t xml:space="preserve">B</t>
  </si>
  <si>
    <t xml:space="preserve">кг/ч</t>
  </si>
  <si>
    <t xml:space="preserve">B = α_р·I / 1000</t>
  </si>
  <si>
    <t xml:space="preserve">Килограммы проволоки в час на одном посту.</t>
  </si>
  <si>
    <t xml:space="preserve">там же</t>
  </si>
  <si>
    <t xml:space="preserve">Выделение на одном посту (дуга горит)</t>
  </si>
  <si>
    <t xml:space="preserve">Аэрозоль</t>
  </si>
  <si>
    <t xml:space="preserve">G_аэр</t>
  </si>
  <si>
    <t xml:space="preserve">г/ч</t>
  </si>
  <si>
    <t xml:space="preserve">G = g·B</t>
  </si>
  <si>
    <t xml:space="preserve">Граммов дыма в час.</t>
  </si>
  <si>
    <t xml:space="preserve">Методика 1997, разд. 2.1, ф. (2.1) [Н]</t>
  </si>
  <si>
    <t xml:space="preserve">Марганец</t>
  </si>
  <si>
    <t xml:space="preserve">G_Mn</t>
  </si>
  <si>
    <t xml:space="preserve">Железа оксид</t>
  </si>
  <si>
    <t xml:space="preserve">G_Fe</t>
  </si>
  <si>
    <t xml:space="preserve">Пыль с SiO₂</t>
  </si>
  <si>
    <t xml:space="preserve">G_SiO₂</t>
  </si>
  <si>
    <t xml:space="preserve">Проверка: сумма компонентов = аэрозоль</t>
  </si>
  <si>
    <t xml:space="preserve">Σg_i − g_аэр</t>
  </si>
  <si>
    <t xml:space="preserve">Должно быть 0: в Методике аэрозоль = сумма твёрдых компонентов. Это проверка, что числа переписаны без ошибки.</t>
  </si>
  <si>
    <t xml:space="preserve">проверка</t>
  </si>
  <si>
    <t xml:space="preserve">Куда уходит марганец (все посты)</t>
  </si>
  <si>
    <t xml:space="preserve">Выделяется на всех постах</t>
  </si>
  <si>
    <t xml:space="preserve">ΣG_Mn</t>
  </si>
  <si>
    <t xml:space="preserve">мг/ч</t>
  </si>
  <si>
    <t xml:space="preserve">n·G_Mn</t>
  </si>
  <si>
    <t xml:space="preserve">Ловят местные отсосы</t>
  </si>
  <si>
    <t xml:space="preserve">η·ΣG</t>
  </si>
  <si>
    <t xml:space="preserve">Уходит через отсос → фильтр → выброс.</t>
  </si>
  <si>
    <t xml:space="preserve">Методика 1997, разд. 2.1 [Н]</t>
  </si>
  <si>
    <t xml:space="preserve">Поступает в воздух цеха</t>
  </si>
  <si>
    <t xml:space="preserve">m_по</t>
  </si>
  <si>
    <t xml:space="preserve">(1 − η)·ΣG</t>
  </si>
  <si>
    <t xml:space="preserve">Вот это и должна разбавить вентиляция — это m_по в формуле СП 60.</t>
  </si>
  <si>
    <t xml:space="preserve">СП 60.13330.2020 (обозначение m_po) [Н]</t>
  </si>
  <si>
    <t xml:space="preserve">Железа оксид в воздух цеха</t>
  </si>
  <si>
    <t xml:space="preserve">m_Fe</t>
  </si>
  <si>
    <t xml:space="preserve">(1 − η)·n·G_Fe</t>
  </si>
  <si>
    <t xml:space="preserve">SiO₂ в воздух цеха</t>
  </si>
  <si>
    <t xml:space="preserve">m_SiO₂</t>
  </si>
  <si>
    <t xml:space="preserve">(1 − η)·n·G_SiO₂</t>
  </si>
  <si>
    <t xml:space="preserve">Оседание аэрозоля (коэффициент 0,4 по Методике, разд. 2.3) в базовом расчёте НЕ учитывается — это запас. Вариант с оседанием посчитан в ядре (лист 9).</t>
  </si>
  <si>
    <t xml:space="preserve">Воздухообмен по СП 60.13330.2020 (ассимиляция вредных веществ)</t>
  </si>
  <si>
    <t xml:space="preserve">Формула СП 60 (та же — СНиП 2.04.05-91*, прил. 17): L = L_wz + (m_по − L_wz·(q_wz − q_пр)) / (q_l − q_пр). L — сколько всего воздуха надо удалить из цеха (= подать притоком). Сюда входят и местные отсосы L_wz, поэтому общеобменная = L − L_wz.</t>
  </si>
  <si>
    <t xml:space="preserve">Марганец (лимитирующее вещество)</t>
  </si>
  <si>
    <t xml:space="preserve">Воздух, удаляемый местными отсосами</t>
  </si>
  <si>
    <t xml:space="preserve">L_wz</t>
  </si>
  <si>
    <t xml:space="preserve">L_wz = n·Q_тр</t>
  </si>
  <si>
    <t xml:space="preserve">Отсосы уносят воздух из цеха вместе с остатком дыма — этот воздух тоже участвует в разбавлении.</t>
  </si>
  <si>
    <t xml:space="preserve">СП 60.13330.2020 [Н]</t>
  </si>
  <si>
    <t xml:space="preserve">Допустимая концентрация в рабочей зоне</t>
  </si>
  <si>
    <t xml:space="preserve">q_wz</t>
  </si>
  <si>
    <t xml:space="preserve">q_wz = ПДК</t>
  </si>
  <si>
    <t xml:space="preserve">СП 60, ГОСТ 12.1.005-88 [Н]</t>
  </si>
  <si>
    <t xml:space="preserve">Концентрация в приточном воздухе</t>
  </si>
  <si>
    <t xml:space="preserve">q_пр</t>
  </si>
  <si>
    <t xml:space="preserve">Концентрация в воздухе, удаляемом из верхней зоны</t>
  </si>
  <si>
    <t xml:space="preserve">q_l</t>
  </si>
  <si>
    <t xml:space="preserve">q_l = q_wz (допущение)</t>
  </si>
  <si>
    <t xml:space="preserve">Принято, что воздух перемешан полностью. На деле сварочный дым поднимается и наверху концентрация больше — значит реальный расход меньше, допущение идёт в запас.</t>
  </si>
  <si>
    <t xml:space="preserve">[Д] — в запас</t>
  </si>
  <si>
    <t xml:space="preserve">Весь воздухообмен (приток = вся вытяжка)</t>
  </si>
  <si>
    <t xml:space="preserve">L</t>
  </si>
  <si>
    <t xml:space="preserve">L = L_wz + (m_по − L_wz·(q_wz − q_пр))/(q_l − q_пр)</t>
  </si>
  <si>
    <t xml:space="preserve">Сколько воздуха надо удалить всего, чтобы марганца было не больше ПДК.</t>
  </si>
  <si>
    <t xml:space="preserve">Общеобменная вытяжка (сверх местных отсосов)</t>
  </si>
  <si>
    <t xml:space="preserve">L_оо</t>
  </si>
  <si>
    <t xml:space="preserve">L_оо = L − L_wz</t>
  </si>
  <si>
    <t xml:space="preserve">Столько должен удалять вентилятор общеобменной вентиляции.</t>
  </si>
  <si>
    <t xml:space="preserve">Проверка: при q_l = q_wz формула упрощается</t>
  </si>
  <si>
    <t xml:space="preserve">L = m_по/(q_wz − q_пр)</t>
  </si>
  <si>
    <t xml:space="preserve">Должно совпасть с L выше — значит формула введена верно.</t>
  </si>
  <si>
    <t xml:space="preserve">алгебра</t>
  </si>
  <si>
    <t xml:space="preserve">Проверка: концентрация при найденном L</t>
  </si>
  <si>
    <t xml:space="preserve">C</t>
  </si>
  <si>
    <t xml:space="preserve">C = q_пр + m_по/L</t>
  </si>
  <si>
    <t xml:space="preserve">Должно получиться ровно ПДК (0,2).</t>
  </si>
  <si>
    <t xml:space="preserve">баланс массы</t>
  </si>
  <si>
    <t xml:space="preserve">Как было в модели до 11.10.2026 (ОШИБКА для центральной вытяжки)</t>
  </si>
  <si>
    <t xml:space="preserve">L_оо,стар</t>
  </si>
  <si>
    <t xml:space="preserve">L_оо = m_по/(ПДК − q_пр)</t>
  </si>
  <si>
    <t xml:space="preserve">Весь потребный воздух отдавали общеобменной и ещё добавляли местные отсосы сверху — воздух отсосов считался дважды. Для схемы с возвратом воздуха (диплом) эта формула верна — см. ниже.</t>
  </si>
  <si>
    <t xml:space="preserve">ошибка — в запас</t>
  </si>
  <si>
    <t xml:space="preserve">Перерасход из-за ошибки</t>
  </si>
  <si>
    <t xml:space="preserve">ΔL</t>
  </si>
  <si>
    <t xml:space="preserve">L_оо,стар − L_оо</t>
  </si>
  <si>
    <t xml:space="preserve">Ровно расход местных отсосов.</t>
  </si>
  <si>
    <t xml:space="preserve">Другие вещества — проверка, что лимитирует марганец</t>
  </si>
  <si>
    <t xml:space="preserve">Весь воздухообмен по железа оксиду</t>
  </si>
  <si>
    <t xml:space="preserve">L_Fe</t>
  </si>
  <si>
    <t xml:space="preserve">L = m/(ПДК − q_пр)</t>
  </si>
  <si>
    <t xml:space="preserve">Меньше, чем по марганцу — значит определяет марганец.</t>
  </si>
  <si>
    <t xml:space="preserve">СП 60 [Н]</t>
  </si>
  <si>
    <t xml:space="preserve">Весь воздухообмен по SiO₂</t>
  </si>
  <si>
    <t xml:space="preserve">L_SiO₂</t>
  </si>
  <si>
    <t xml:space="preserve">L = m/ПДК</t>
  </si>
  <si>
    <t xml:space="preserve">Расчётный (наибольший)</t>
  </si>
  <si>
    <t xml:space="preserve">L_расч</t>
  </si>
  <si>
    <t xml:space="preserve">max по веществам</t>
  </si>
  <si>
    <t xml:space="preserve">Если вещества однонаправленного действия — по СП 60 расходы СКЛАДЫВАЮТСЯ (Σ m_i/(ПДК_i − q_пр,i)). Mn, Fe₂O₃ и SiO₂ к одной группе не относятся.</t>
  </si>
  <si>
    <t xml:space="preserve">Схема диплома: переносной электрофильтр с возвратом очищенного воздуха в цех (L_wz = 0)</t>
  </si>
  <si>
    <t xml:space="preserve">Степень очистки аэрозоля фильтром агрегата</t>
  </si>
  <si>
    <t xml:space="preserve">η_ф</t>
  </si>
  <si>
    <t xml:space="preserve">1 — идеальный фильтр. Реальное значение — из паспорта агрегата. Газы (HF, CO, NO₂) электрофильтр не задерживает: для них η_ф = 0.</t>
  </si>
  <si>
    <t xml:space="preserve">паспорт [Д]</t>
  </si>
  <si>
    <t xml:space="preserve">Mn в воздух цеха: мимо отсоса + проскок фильтра</t>
  </si>
  <si>
    <t xml:space="preserve">m = [(1 − η) + η(1 − η_ф)]·ΣG</t>
  </si>
  <si>
    <t xml:space="preserve">Фильтр возвращает воздух в цех вместе с тем, что не поймал.</t>
  </si>
  <si>
    <t xml:space="preserve">Весь воздухообмен = общеобменная (отсосы воздух не удаляют)</t>
  </si>
  <si>
    <t xml:space="preserve">L = L_оо</t>
  </si>
  <si>
    <t xml:space="preserve">L = m/(q_wz − q_пр), L_wz = 0</t>
  </si>
  <si>
    <t xml:space="preserve">При η_ф = 1 — ровно столько же воздуха, сколько при центральной вытяжке (L выше). Значит, и тепло то же. Разница — только кто удаляет воздух.</t>
  </si>
  <si>
    <t xml:space="preserve">Во сколько раз больше, чем при выбросе наружу</t>
  </si>
  <si>
    <t xml:space="preserve">При η_ф = 0,95 → 1,2 раза.</t>
  </si>
  <si>
    <t xml:space="preserve">Норматив: СНиП 41-01-2003, п. 7.4.4 — рециркуляция не допускается из систем местных отсосов вредных веществ; исключение — местные отсосы пылевоздушных смесей после очистки от пыли. Для сварочного аэрозоля с Mn (2-й класс) и газами — сверить по действующему СП 60.13330.2020, разд. 7.4 [П].</t>
  </si>
  <si>
    <t xml:space="preserve">Что ещё требует СП 60 и как это учтено</t>
  </si>
  <si>
    <t xml:space="preserve">1) Расходы определяются отдельно для тёплого и холодного периодов — в модели считается холодный (по нему максимальные затраты тепла). 2) Теплопоступления от дуги на расход по вредным веществам не влияют (одинаковы во всех режимах) — не моделируются. 3) Рециркуляция не применяется: Mn — 2-й класс опасности. 4) Минимум наружного воздуха на человека (СП 60, прил. [П: номер]) — десятки м³/ч; у нас ≥ 1500 м³/ч на сварщика — выполняется с большим запасом. 5) Местные отсосы и общеобменная вытяжка компенсируются притоком того же расхода — поэтому тепло считается от L (лист 7).</t>
  </si>
  <si>
    <t xml:space="preserve">Характеристика дроссель-клапана (круглый воздуховод): угол → ζ</t>
  </si>
  <si>
    <t xml:space="preserve">0° — открыта, 90° — закрыта. Между точками таблицы ζ интерполируется по логарифму (ζ растёт почти экспоненциально): ln ζ = ln ζ₀ + (α − α₀)/(α₁ − α₀)·(ln ζ₁ − ln ζ₀). Источник: Идельчик И.Е. Справочник по гидравлическим сопротивлениям. 3-е изд. — М.: Машиностроение, 1992, диагр. 9-17, с. 453, кривая 2 (D̄ = 1,0) — сверено; 0° — [Д] (в таблице для кривой 2 нет); 90° — [Д] утечка закрытой заслонки.</t>
  </si>
  <si>
    <t xml:space="preserve">α, °</t>
  </si>
  <si>
    <t xml:space="preserve">ζ</t>
  </si>
  <si>
    <t xml:space="preserve">ln ζ</t>
  </si>
  <si>
    <t xml:space="preserve">Комментарий</t>
  </si>
  <si>
    <t xml:space="preserve">[Д] нет в табл.</t>
  </si>
  <si>
    <t xml:space="preserve">Идельчик, диагр. 9-17</t>
  </si>
  <si>
    <t xml:space="preserve">[Д] закрыто (утечка)</t>
  </si>
  <si>
    <t xml:space="preserve">Коэффициент A₁ отвода от угла поворота δ — Идельчик, 1992, диагр. 6-1, с. 278 (таблица), сверено</t>
  </si>
  <si>
    <t xml:space="preserve">δ, °</t>
  </si>
  <si>
    <t xml:space="preserve">A₁</t>
  </si>
  <si>
    <t xml:space="preserve">Диффузор круглый в сети, ζ_д при n = F₁/F₀ = 2, l₀/D₀ = 0 — Идельчик, 1992, диагр. 5-2, с. 211, сверено. Строки — Re·10⁻⁵, столбцы — α, °</t>
  </si>
  <si>
    <t xml:space="preserve">Re</t>
  </si>
  <si>
    <t xml:space="preserve">ln Re</t>
  </si>
  <si>
    <t xml:space="preserve">Потери давления на каждом элементе сети — режим пусконаладки: 3 поста по 1500 м³/ч</t>
  </si>
  <si>
    <t xml:space="preserve">Общая формула: Δp = ζ·p_д, p_д = ρw²/2 (динамическое давление), w = Q/F. Для воздуховода ζ = λ·l/d (трение), λ — по Альтшулю: λ = 0,11·(kэ/d + 68/Re)^0,25. Для тройников ζ отнесён к скорости в ОБЩЕМ (сборном) канале — поэтому для них w и p_д считаются по d_с и Q_с. Расходы постов (синие, колонка G в строках «зонт») — это решение сети из ядра при углах заслонок пусконаладки; Excel их не решает, а ПРОВЕРЯЕТ: сумма потерь по пути каждого поста должна равняться давлению вентилятора (лист 6). Расходы участков коллектора — сумма постов (закон сохранения массы).</t>
  </si>
  <si>
    <t xml:space="preserve">Участок</t>
  </si>
  <si>
    <t xml:space="preserve">Элемент</t>
  </si>
  <si>
    <t xml:space="preserve">Тип</t>
  </si>
  <si>
    <t xml:space="preserve">d (d₁), м</t>
  </si>
  <si>
    <t xml:space="preserve">l, м</t>
  </si>
  <si>
    <t xml:space="preserve">Q, м³/ч</t>
  </si>
  <si>
    <t xml:space="preserve">Q_с, м³/ч (общий канал)</t>
  </si>
  <si>
    <t xml:space="preserve">Q_б, м³/ч (боковой поток)</t>
  </si>
  <si>
    <t xml:space="preserve">Параметр 1</t>
  </si>
  <si>
    <t xml:space="preserve">Параметр 2</t>
  </si>
  <si>
    <t xml:space="preserve">d расч., м</t>
  </si>
  <si>
    <t xml:space="preserve">w, м/с</t>
  </si>
  <si>
    <t xml:space="preserve">λ</t>
  </si>
  <si>
    <t xml:space="preserve">p_д, Па</t>
  </si>
  <si>
    <t xml:space="preserve">Δp, Па (Excel)</t>
  </si>
  <si>
    <t xml:space="preserve">Δp, Па (ядро)</t>
  </si>
  <si>
    <t xml:space="preserve">Разница, Па</t>
  </si>
  <si>
    <t xml:space="preserve">Формула ζ / пояснение</t>
  </si>
  <si>
    <t xml:space="preserve">Источник</t>
  </si>
  <si>
    <t xml:space="preserve">k_Re (отвод) / ζ₂ (диффузор)</t>
  </si>
  <si>
    <t xml:space="preserve">k_Δ (отвод)</t>
  </si>
  <si>
    <t xml:space="preserve">post1</t>
  </si>
  <si>
    <t xml:space="preserve">hood1</t>
  </si>
  <si>
    <t xml:space="preserve">local</t>
  </si>
  <si>
    <t xml:space="preserve">Вход через конический коллектор (раструб) α = 60°: ζ = 0,25 при l/D = 0,15 и 0,17 при l/D = 0,25 — принято 0,2 (параметр 1). Без раструба (острая кромка) — 0,5.</t>
  </si>
  <si>
    <t xml:space="preserve">Идельчик, 1992, диагр. 3-6, с. 127 [С] — сверено; геометрия [Д]</t>
  </si>
  <si>
    <t xml:space="preserve">branch1</t>
  </si>
  <si>
    <t xml:space="preserve">duct</t>
  </si>
  <si>
    <t xml:space="preserve">Трение по длине: ζ = λ·l/d. λ: Re ≤ 2000 — 64/Re; Re ≥ 4000 — Альтшуль 0,11(kэ/d + 68/Re)^0,25; между — линейно (чтобы λ была непрерывной).</t>
  </si>
  <si>
    <t xml:space="preserve">Дарси–Вейсбах; Альтшуль А.Д., 1982 [С]</t>
  </si>
  <si>
    <t xml:space="preserve">bend90_1</t>
  </si>
  <si>
    <t xml:space="preserve">bend</t>
  </si>
  <si>
    <t xml:space="preserve">отвод 90°, R/D = 1,5.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</si>
  <si>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Идельчик, 1992, диагр. 6-1, с. 277–278 [С] — сверено</t>
  </si>
  <si>
    <t xml:space="preserve">bend45_1</t>
  </si>
  <si>
    <t xml:space="preserve">отвод 45°, R/D = 1,5.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</si>
  <si>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damper1</t>
  </si>
  <si>
    <t xml:space="preserve">damper</t>
  </si>
  <si>
    <t xml:space="preserve">Дроссель-клапан: ζ(α) по таблице листа «4 Таблицы» с интерполяцией по ln ζ. Параметр 1 = угол α, °.</t>
  </si>
  <si>
    <t xml:space="preserve">Идельчик, 1992, диагр. 9-17, кривая 2 [С] — сверено</t>
  </si>
  <si>
    <t xml:space="preserve">bend_end</t>
  </si>
  <si>
    <t xml:space="preserve">отвод 90° в торец коллектора.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</si>
  <si>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trans1</t>
  </si>
  <si>
    <t xml:space="preserve">diffuser</t>
  </si>
  <si>
    <t xml:space="preserve">Переход на больший диаметр (диффузор), к скорости в узком сечении d₁. n = (d₂/d₁)². ζ₂ — таблица при n = 2 (лист 4) по α и Re (интерполяция по α и ln Re); пересчёт на n по формулам Идельчика (5-6), (5-7): ζ = (ζ₂ − ζ_тр(2))·((1 − 1/n)/0,5)^1,92 + ζ_тр(n), ζ_тр = λ/(8 sin(α/2))·(1 − 1/n²) [М]. Колонка W — ζ₂. Параметр 1 = d₂, м; 2 = α, °.</t>
  </si>
  <si>
    <t xml:space="preserve">Идельчик, 1992, диагр. 5-2, с. 211; ф. (5-6), (5-7), с. 192–193 [С] — сверено</t>
  </si>
  <si>
    <t xml:space="preserve">c1</t>
  </si>
  <si>
    <t xml:space="preserve">trans_c1</t>
  </si>
  <si>
    <t xml:space="preserve">teeP2</t>
  </si>
  <si>
    <t xml:space="preserve">teeStraight</t>
  </si>
  <si>
    <t xml:space="preserve">Тройник на слияние, проход. r = Q_б/Q_с (Q_б — боковой поток, колонка I). ζ = 1,55·r − r², к скорости в общем канале (d = d_с).</t>
  </si>
  <si>
    <t xml:space="preserve">Идельчик, 1992, диагр. 7-4, с. 346 [С] — сверено</t>
  </si>
  <si>
    <t xml:space="preserve">post2</t>
  </si>
  <si>
    <t xml:space="preserve">hood2</t>
  </si>
  <si>
    <t xml:space="preserve">branch2</t>
  </si>
  <si>
    <t xml:space="preserve">bend90_2</t>
  </si>
  <si>
    <t xml:space="preserve">bend45_2</t>
  </si>
  <si>
    <t xml:space="preserve">damper2</t>
  </si>
  <si>
    <t xml:space="preserve">tee2</t>
  </si>
  <si>
    <t xml:space="preserve">teeSide</t>
  </si>
  <si>
    <t xml:space="preserve">Тройник на слияние, боковой вход. r = Q_б/Q_с. ζ = A·[1 + (r·F_с/F_б)² − 2(1 − r)²], к скорости в общем канале d_с (параметр 1). A: F_б/F_с ≤ 0,35 → 1; иначе max(0,9(1 − r); 0,55). Может быть &lt; 0 (эжекция) — это физика.</t>
  </si>
  <si>
    <t xml:space="preserve">Идельчик, 1992, диагр. 7-4, с. 346; A — табл. 7-1, с. 335 [С] — сверено</t>
  </si>
  <si>
    <t xml:space="preserve">c2</t>
  </si>
  <si>
    <t xml:space="preserve">trans_c2</t>
  </si>
  <si>
    <t xml:space="preserve">teeP3</t>
  </si>
  <si>
    <t xml:space="preserve">post3</t>
  </si>
  <si>
    <t xml:space="preserve">hood3</t>
  </si>
  <si>
    <t xml:space="preserve">branch3</t>
  </si>
  <si>
    <t xml:space="preserve">bend90_3</t>
  </si>
  <si>
    <t xml:space="preserve">bend45_3</t>
  </si>
  <si>
    <t xml:space="preserve">damper3</t>
  </si>
  <si>
    <t xml:space="preserve">tee3</t>
  </si>
  <si>
    <t xml:space="preserve">c3</t>
  </si>
  <si>
    <t xml:space="preserve">bend_main</t>
  </si>
  <si>
    <t xml:space="preserve">отвод 90° к фильтру.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</si>
  <si>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common</t>
  </si>
  <si>
    <t xml:space="preserve">filter</t>
  </si>
  <si>
    <t xml:space="preserve">Фильтр: Δp = Δp_ном·(Q/Q_ном)^m, m = 1 (закон Дарси для фильтровальной перегородки). Параметр 1 = Δp_ном, Па; параметр 2 = Q_ном, м³/ч. Чистый фильтр (k_загр = 1).</t>
  </si>
  <si>
    <t xml:space="preserve">Ужов В.Н., Мягков Б.И., 1970 [С]; Δp_ном — паспорт [Д]</t>
  </si>
  <si>
    <t xml:space="preserve">discharge</t>
  </si>
  <si>
    <t xml:space="preserve">bend_out</t>
  </si>
  <si>
    <t xml:space="preserve">отвод 90°.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</si>
  <si>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exit</t>
  </si>
  <si>
    <t xml:space="preserve">Выход в атмосферу: теряется вся скорость, ζ = 1 (параметр 1).</t>
  </si>
  <si>
    <t xml:space="preserve">Идельчик, 1992 [С]</t>
  </si>
  <si>
    <t xml:space="preserve">Суммы потерь по участкам и путям</t>
  </si>
  <si>
    <t xml:space="preserve">Участок / путь</t>
  </si>
  <si>
    <t xml:space="preserve">Σ Δp, Па (Excel)</t>
  </si>
  <si>
    <t xml:space="preserve">Σ Δp, Па (ядро)</t>
  </si>
  <si>
    <t xml:space="preserve">Разница</t>
  </si>
  <si>
    <t xml:space="preserve">Пояснение</t>
  </si>
  <si>
    <t xml:space="preserve">Путь post1 → вентилятор + общий тракт</t>
  </si>
  <si>
    <t xml:space="preserve">Полные потери от входа в зонт поста до выброса. По закону сохранения энергии = давлению вентилятора (сверка на листе 6). Если у разных постов суммы разные — расходы не являются решением сети.</t>
  </si>
  <si>
    <t xml:space="preserve">Путь post2 → вентилятор + общий тракт</t>
  </si>
  <si>
    <t xml:space="preserve">Путь post3 → вентилятор + общий тракт</t>
  </si>
  <si>
    <t xml:space="preserve">Наибольшее расхождение по элементу, Па:</t>
  </si>
  <si>
    <t xml:space="preserve">Наименьшая скорость в воздуховодах, м/с (норма ≥ 8):</t>
  </si>
  <si>
    <t xml:space="preserve">Вентилятор: давление, мощность, КПД привода</t>
  </si>
  <si>
    <t xml:space="preserve">Давление вентилятора при частоте n — по каталожной характеристике (при n₀) и законам подобия: Q ~ n, p ~ n². Мощность на валу N = Q·p/η. Электрическая мощность — с учётом КПД двигателя и частотника.</t>
  </si>
  <si>
    <t xml:space="preserve">Характеристика вентилятора при n₀ (демо [Д] — заменить каталогом)</t>
  </si>
  <si>
    <t xml:space="preserve">Q₀, м³/ч</t>
  </si>
  <si>
    <t xml:space="preserve">p₀, Па</t>
  </si>
  <si>
    <t xml:space="preserve">Частота каталожной характеристики</t>
  </si>
  <si>
    <t xml:space="preserve">n₀</t>
  </si>
  <si>
    <t xml:space="preserve">об/мин</t>
  </si>
  <si>
    <t xml:space="preserve">каталог [Д]</t>
  </si>
  <si>
    <t xml:space="preserve">Частота после пусконаладки</t>
  </si>
  <si>
    <t xml:space="preserve">Минимальная частота, при которой все посты получают 1500 м³/ч (подобрано ядром, balance.ts).</t>
  </si>
  <si>
    <t xml:space="preserve">ядро</t>
  </si>
  <si>
    <t xml:space="preserve">Общий расход</t>
  </si>
  <si>
    <t xml:space="preserve">Q</t>
  </si>
  <si>
    <t xml:space="preserve">Q = ΣQ_пост</t>
  </si>
  <si>
    <t xml:space="preserve">Отношение частот</t>
  </si>
  <si>
    <t xml:space="preserve">k</t>
  </si>
  <si>
    <t xml:space="preserve">k = n/n₀</t>
  </si>
  <si>
    <t xml:space="preserve">Расход, приведённый к n₀</t>
  </si>
  <si>
    <t xml:space="preserve">Q₀</t>
  </si>
  <si>
    <t xml:space="preserve">Q₀ = Q/k</t>
  </si>
  <si>
    <t xml:space="preserve">По закону подобия расход пропорционален частоте.</t>
  </si>
  <si>
    <t xml:space="preserve">Давление по характеристике при n₀</t>
  </si>
  <si>
    <t xml:space="preserve">p₀</t>
  </si>
  <si>
    <t xml:space="preserve">Па</t>
  </si>
  <si>
    <t xml:space="preserve">линейная интерполяция по таблице</t>
  </si>
  <si>
    <t xml:space="preserve">Давление вентилятора при n</t>
  </si>
  <si>
    <t xml:space="preserve">p</t>
  </si>
  <si>
    <t xml:space="preserve">p = p₀·k²</t>
  </si>
  <si>
    <t xml:space="preserve">Давление пропорционально квадрату частоты.</t>
  </si>
  <si>
    <t xml:space="preserve">Проверка баланса: давление вентилятора = потери по пути каждого поста</t>
  </si>
  <si>
    <t xml:space="preserve">Путь поста 1 − давление вентилятора</t>
  </si>
  <si>
    <t xml:space="preserve">Σ Δp − p</t>
  </si>
  <si>
    <t xml:space="preserve">Должно быть ≈ 0 (± 0,01 Па): расходы — действительно решение сети.</t>
  </si>
  <si>
    <t xml:space="preserve">закон сохранения энергии</t>
  </si>
  <si>
    <t xml:space="preserve">Путь поста 2 − давление вентилятора</t>
  </si>
  <si>
    <t xml:space="preserve">Путь поста 3 − давление вентилятора</t>
  </si>
  <si>
    <t xml:space="preserve">Мощность</t>
  </si>
  <si>
    <t xml:space="preserve">КПД вентилятора</t>
  </si>
  <si>
    <t xml:space="preserve">η_в</t>
  </si>
  <si>
    <t xml:space="preserve">Принят постоянным [Д] — уточнить по каталогу.</t>
  </si>
  <si>
    <t xml:space="preserve">Мощность на валу</t>
  </si>
  <si>
    <t xml:space="preserve">N</t>
  </si>
  <si>
    <t xml:space="preserve">Вт</t>
  </si>
  <si>
    <t xml:space="preserve">N = Q·p/η_в</t>
  </si>
  <si>
    <t xml:space="preserve">Калинушкин М.П., 1979 [С]</t>
  </si>
  <si>
    <t xml:space="preserve">Номинальная мощность двигателя</t>
  </si>
  <si>
    <t xml:space="preserve">P_н</t>
  </si>
  <si>
    <t xml:space="preserve">демо [Д]</t>
  </si>
  <si>
    <t xml:space="preserve">Номинальный КПД двигателя (IE3, 4 полюса, 2,2 кВт)</t>
  </si>
  <si>
    <t xml:space="preserve">η_н</t>
  </si>
  <si>
    <t xml:space="preserve">ГОСТ IEC 60034-30-1-2016, табл. 1 [Н]</t>
  </si>
  <si>
    <t xml:space="preserve">Загрузка двигателя</t>
  </si>
  <si>
    <t xml:space="preserve">β</t>
  </si>
  <si>
    <t xml:space="preserve">β = N/P_н</t>
  </si>
  <si>
    <t xml:space="preserve">Отношение постоянных потерь к переменным</t>
  </si>
  <si>
    <t xml:space="preserve">k_п</t>
  </si>
  <si>
    <t xml:space="preserve">Постоянные потери (сталь, трение) не зависят от нагрузки, переменные (медь) ~ β².</t>
  </si>
  <si>
    <t xml:space="preserve">Копылов И.П. Электрические машины [С][П]</t>
  </si>
  <si>
    <t xml:space="preserve">КПД двигателя при загрузке β</t>
  </si>
  <si>
    <t xml:space="preserve">η_дв</t>
  </si>
  <si>
    <t xml:space="preserve">η = β/(β + ΣP(β)), ΣP = ΣP_н·(k + β²)/(1 + k)</t>
  </si>
  <si>
    <t xml:space="preserve">При недогрузке КПД двигателя падает.</t>
  </si>
  <si>
    <t xml:space="preserve">Копылов [С]</t>
  </si>
  <si>
    <t xml:space="preserve">КПД частотника при загрузке β</t>
  </si>
  <si>
    <t xml:space="preserve">η_ПЧ</t>
  </si>
  <si>
    <t xml:space="preserve">интерполяция таблицы</t>
  </si>
  <si>
    <t xml:space="preserve">Российского числового норматива нет (метод — ГОСТ IEC 61800-9-2-2021); до паспорта ПЧ — типовые значения US DOE (зарубежный справочный).</t>
  </si>
  <si>
    <t xml:space="preserve">Таблица КПД ПЧ: β →</t>
  </si>
  <si>
    <t xml:space="preserve">Электрическая мощность из сети</t>
  </si>
  <si>
    <t xml:space="preserve">P_эл</t>
  </si>
  <si>
    <t xml:space="preserve">P_эл = N/(η_дв·η_ПЧ)</t>
  </si>
  <si>
    <t xml:space="preserve">Это то, что покажет счётчик.</t>
  </si>
  <si>
    <t xml:space="preserve">Тепло на нагрев приточного воздуха</t>
  </si>
  <si>
    <t xml:space="preserve">Весь воздух, удалённый из цеха (местные отсосы + общеобменная), замещается наружным, который надо нагреть до t_в. Q = ρ·c·L·(t_в − t_н).</t>
  </si>
  <si>
    <t xml:space="preserve">Разность температур</t>
  </si>
  <si>
    <t xml:space="preserve">Δt</t>
  </si>
  <si>
    <t xml:space="preserve">Δt = t_в − t_оп</t>
  </si>
  <si>
    <t xml:space="preserve">СанПиН, СП 131.13330.2025</t>
  </si>
  <si>
    <t xml:space="preserve">Стандарт (без регулирования): заслонки зажаты на углах наладки, вентилятор на номинальных оборотах — местные отсосы тянут 4500 м³/ч всю смену, общеобменная постоянная</t>
  </si>
  <si>
    <t xml:space="preserve">Весь удаляемый воздух</t>
  </si>
  <si>
    <t xml:space="preserve">L = L_wz + L_оо</t>
  </si>
  <si>
    <t xml:space="preserve">Равно L по СП 60 (лист 3).</t>
  </si>
  <si>
    <t xml:space="preserve">Тепловая мощность</t>
  </si>
  <si>
    <t xml:space="preserve">Φ</t>
  </si>
  <si>
    <t xml:space="preserve">кВт</t>
  </si>
  <si>
    <t xml:space="preserve">Φ = ρ·c·L·Δt/3600</t>
  </si>
  <si>
    <t xml:space="preserve">Сколько киловатт тепла идёт на подогрев притока.</t>
  </si>
  <si>
    <t xml:space="preserve">Богословский В.Н. и др. Отопление и вентиляция, 1976 [С]</t>
  </si>
  <si>
    <t xml:space="preserve">Тепло за смену</t>
  </si>
  <si>
    <t xml:space="preserve">Q_см</t>
  </si>
  <si>
    <t xml:space="preserve">кВт·ч</t>
  </si>
  <si>
    <t xml:space="preserve">Q = Φ·t_см</t>
  </si>
  <si>
    <t xml:space="preserve">Сверка с ядром: стандарт, лист 9.</t>
  </si>
  <si>
    <t xml:space="preserve">Тепло за отопительный период (1 смена/сут)</t>
  </si>
  <si>
    <t xml:space="preserve">Q_оп</t>
  </si>
  <si>
    <t xml:space="preserve">МВт·ч</t>
  </si>
  <si>
    <t xml:space="preserve">Q_см·z_оп</t>
  </si>
  <si>
    <t xml:space="preserve">То же в гигакалориях</t>
  </si>
  <si>
    <t xml:space="preserve">Гкал</t>
  </si>
  <si>
    <t xml:space="preserve">1 Гкал = 1,163 МВт·ч</t>
  </si>
  <si>
    <t xml:space="preserve">В Гкал выставляют счёт за тепло.</t>
  </si>
  <si>
    <t xml:space="preserve">Сколько стоил бы «двойной учёт» воздуха отсосов (ошибка до 11.10.2026)</t>
  </si>
  <si>
    <t xml:space="preserve">Лишнее тепло за смену</t>
  </si>
  <si>
    <t xml:space="preserve">ΔQ</t>
  </si>
  <si>
    <t xml:space="preserve">Столько тепла «лишнего» закладывал старый расчёт.</t>
  </si>
  <si>
    <t xml:space="preserve">С регулированием: средние за смену расходы из динамического расчёта (оранжевые — из ядра), тепло — формулой</t>
  </si>
  <si>
    <t xml:space="preserve">Общеобменная, средняя за смену</t>
  </si>
  <si>
    <t xml:space="preserve">L̄_оо</t>
  </si>
  <si>
    <t xml:space="preserve">Постоянная общеобменная 8101 м³/ч (среднее чуть больше из-за пуска в первые секунды).</t>
  </si>
  <si>
    <t xml:space="preserve">ядро (sim.ts)</t>
  </si>
  <si>
    <t xml:space="preserve">Местные отсосы, средний расход: «открыто/закрыто» + ПЧ (для справки)</t>
  </si>
  <si>
    <t xml:space="preserve">L̄_мо</t>
  </si>
  <si>
    <t xml:space="preserve">Посты варят часть смены; когда пост не варит, заслонка закрыта.</t>
  </si>
  <si>
    <t xml:space="preserve">Местные отсосы, средний расход: предлагаемая система</t>
  </si>
  <si>
    <t xml:space="preserve">Меньше, чем у «открыто/закрыто», потому что нет перерасхода сверх 1500 м³/ч.</t>
  </si>
  <si>
    <t xml:space="preserve">Тепло за смену: «открыто/закрыто» + ПЧ (для справки)</t>
  </si>
  <si>
    <t xml:space="preserve">Q = ρ·c·(L̄_оо + L̄_мо)·Δt·t_см/3600</t>
  </si>
  <si>
    <t xml:space="preserve">Тепло пропорционально среднему расходу удаляемого воздуха.</t>
  </si>
  <si>
    <t xml:space="preserve">тот же метод</t>
  </si>
  <si>
    <t xml:space="preserve">Тепло за смену: предлагаемая система</t>
  </si>
  <si>
    <t xml:space="preserve">то же</t>
  </si>
  <si>
    <t xml:space="preserve">Электроэнергия вентилятора местной вытяжки за смену</t>
  </si>
  <si>
    <t xml:space="preserve">Стандарт: номинальная частота вентилятора</t>
  </si>
  <si>
    <t xml:space="preserve">n_ном</t>
  </si>
  <si>
    <t xml:space="preserve">p(Q_треб, n_ном) = 1,1·p_треб</t>
  </si>
  <si>
    <t xml:space="preserve">Вентилятор подобран с запасом 10 % по давлению и всю смену крутится на номинальных оборотах (демо-характеристика пересчитана по законам подобия, лист 6).</t>
  </si>
  <si>
    <t xml:space="preserve">ядро (scenario.ts)</t>
  </si>
  <si>
    <t xml:space="preserve">Стандарт: давление вентилятора (заслонки на углах наладки)</t>
  </si>
  <si>
    <t xml:space="preserve">Лишние 10 % давления гасятся заслонками всех постов (углы — лист 10, раздел А2).</t>
  </si>
  <si>
    <t xml:space="preserve">Стандарт: электрическая мощность вентилятора</t>
  </si>
  <si>
    <t xml:space="preserve">С КПД двигателя; частотника нет.</t>
  </si>
  <si>
    <t xml:space="preserve">Стандарт (без регулирования), энергия за смену</t>
  </si>
  <si>
    <t xml:space="preserve">E</t>
  </si>
  <si>
    <t xml:space="preserve">E = P_эл·t_см</t>
  </si>
  <si>
    <t xml:space="preserve">Мощность постоянна всю смену. В ядре чуть меньше — первые 10 с идёт разгон.</t>
  </si>
  <si>
    <t xml:space="preserve">С регулированием мощность меняется каждую секунду (посты включаются и выключаются), энергия = Σ P_эл(tᵢ)·Δt по 28 800 шагам — только в ядре: предлагаемая 4,97 кВт·ч, «открыто/закрыто» + ПЧ (для справки) 5,39 кВт·ч (лист 9),</t>
  </si>
  <si>
    <t xml:space="preserve">Сверка: Excel против расчётного ядра</t>
  </si>
  <si>
    <t xml:space="preserve">Ядро — программа vent-sim (TypeScript); значения выгружены export_engine.ts в engine.json. Зелёный — расхождение &lt; 0,1 %.</t>
  </si>
  <si>
    <t xml:space="preserve">Excel</t>
  </si>
  <si>
    <t xml:space="preserve">Ядро</t>
  </si>
  <si>
    <t xml:space="preserve">Относит. разница</t>
  </si>
  <si>
    <t xml:space="preserve">Итог</t>
  </si>
  <si>
    <t xml:space="preserve">Коэффициент расплавления α_р, г/(А·ч), 225 А</t>
  </si>
  <si>
    <t xml:space="preserve">Расход проволоки B, кг/ч, 225 А</t>
  </si>
  <si>
    <t xml:space="preserve">Весь воздухообмен L по СП 60, м³/ч (3 поста, 225 А)</t>
  </si>
  <si>
    <t xml:space="preserve">Общеобменная L_оо = L − L_wz, м³/ч</t>
  </si>
  <si>
    <t xml:space="preserve">Расход вентилятора, м³/ч</t>
  </si>
  <si>
    <t xml:space="preserve">Давление вентилятора, Па</t>
  </si>
  <si>
    <t xml:space="preserve">Мощность на валу, Вт</t>
  </si>
  <si>
    <t xml:space="preserve">КПД двигателя при загрузке</t>
  </si>
  <si>
    <t xml:space="preserve">Электрическая мощность, Вт</t>
  </si>
  <si>
    <t xml:space="preserve">Тепло за смену, стандарт (без регулирования), кВт·ч</t>
  </si>
  <si>
    <t xml:space="preserve">Тепло за смену, «открыто/закрыто» + ПЧ (для справки), кВт·ч</t>
  </si>
  <si>
    <t xml:space="preserve">Тепло за смену, предлагаемая система, кВт·ч</t>
  </si>
  <si>
    <t xml:space="preserve">Электроэнергия за смену, стандарт (без регулирования), кВт·ч</t>
  </si>
  <si>
    <t xml:space="preserve">ПИ-шаг: ζ заслонки при 30°</t>
  </si>
  <si>
    <t xml:space="preserve">ПИ-шаг: новое ζ</t>
  </si>
  <si>
    <t xml:space="preserve">ПИ-шаг: новый угол заслонки, °</t>
  </si>
  <si>
    <t xml:space="preserve">Объём цеха, м³</t>
  </si>
  <si>
    <t xml:space="preserve">Тепло и энергия за смену в ядре — интеграл за 8 ч (шаг 1 с); энергия стандарта в ядре на 0,02 % меньше из-за разгона вентилятора в первые 10 с.</t>
  </si>
  <si>
    <t xml:space="preserve">Наибольшее расхождение потерь по элементу, Па</t>
  </si>
  <si>
    <t xml:space="preserve">допуск 0.001</t>
  </si>
  <si>
    <t xml:space="preserve">Баланс: путь поста 1 − давление вентилятора, Па</t>
  </si>
  <si>
    <t xml:space="preserve">допуск 0.01</t>
  </si>
  <si>
    <t xml:space="preserve">Баланс: путь поста 2 − давление вентилятора, Па</t>
  </si>
  <si>
    <t xml:space="preserve">Баланс: путь поста 3 − давление вентилятора, Па</t>
  </si>
  <si>
    <t xml:space="preserve">Проверка выделений: Σ компонентов − аэрозоль, г/кг</t>
  </si>
  <si>
    <t xml:space="preserve">допуск 1e-09</t>
  </si>
  <si>
    <t xml:space="preserve">Концентрация Mn при L по СП 60 минус ПДК, мг/м³</t>
  </si>
  <si>
    <t xml:space="preserve">Динамика C(t): наибольшая относит. разница с ядром</t>
  </si>
  <si>
    <t xml:space="preserve">Итоги динамического расчёта смены 8 ч (ядро, шаг 1 с) — версия 1.9 от 16.10.2026: стандарт = без регулирования (заслонки на углах наладки, вентилятор с запасом 10 % на номинальных оборотах); блок Б — расчёт 11.10.2026 (стандарт в нём не участвует)</t>
  </si>
  <si>
    <t xml:space="preserve">Эти числа получены программой: расписание сварки, регуляторы, приводы заслонок с ограниченной скоростью, частотник, решение сети на каждом шаге, нестационарная концентрация в цехе. В Excel повторить нельзя; проверяемые части (выделения, СП 60, потери, вентилятор, тепло) — на листах 2–7.</t>
  </si>
  <si>
    <t xml:space="preserve">А. 3 поста MAG 225 А, столы с отсосом 1500 м³/ч, общеобменная постоянная 8 101 м³/ч (по СП 60)</t>
  </si>
  <si>
    <t xml:space="preserve">Режим местной вытяжки</t>
  </si>
  <si>
    <t xml:space="preserve">Вент. МВВ, кВт·ч</t>
  </si>
  <si>
    <t xml:space="preserve">Тепло, кВт·ч</t>
  </si>
  <si>
    <t xml:space="preserve">Ср. расход МВВ, м³/ч</t>
  </si>
  <si>
    <t xml:space="preserve">Расход &lt; 95 %</t>
  </si>
  <si>
    <t xml:space="preserve">&gt; 110 %</t>
  </si>
  <si>
    <t xml:space="preserve">Mn ср., мг/м³</t>
  </si>
  <si>
    <t xml:space="preserve">Mn макс., мг/м³</t>
  </si>
  <si>
    <t xml:space="preserve">Стандарт: без регулирования (углы наладки, n_ном)</t>
  </si>
  <si>
    <t xml:space="preserve">0,0 %</t>
  </si>
  <si>
    <t xml:space="preserve">«Открыто/закрыто» + ПЧ (для справки)</t>
  </si>
  <si>
    <t xml:space="preserve">5,6 %</t>
  </si>
  <si>
    <t xml:space="preserve">38,4 %</t>
  </si>
  <si>
    <t xml:space="preserve">Предлагаемая (ПИ по ln ζ + сброс давления)</t>
  </si>
  <si>
    <t xml:space="preserve">6,3 %</t>
  </si>
  <si>
    <t xml:space="preserve">2,6 %</t>
  </si>
  <si>
    <t xml:space="preserve">Предлагаемая + ОВ по числу постов</t>
  </si>
  <si>
    <t xml:space="preserve">Б. 3 поста, ток меняется 175/225/270 А; режимы общеобменной (местная — предлагаемая)</t>
  </si>
  <si>
    <t xml:space="preserve">Режим ОВ</t>
  </si>
  <si>
    <t xml:space="preserve">Ср. ОВ, м³/ч</t>
  </si>
  <si>
    <t xml:space="preserve">Эл. МВВ+ОВ, кВт·ч</t>
  </si>
  <si>
    <t xml:space="preserve">Mn ср.</t>
  </si>
  <si>
    <t xml:space="preserve">Mn макс.</t>
  </si>
  <si>
    <t xml:space="preserve">Время &gt; ПДК</t>
  </si>
  <si>
    <t xml:space="preserve">Постоянный (расчётный, 270 А)</t>
  </si>
  <si>
    <t xml:space="preserve">0 %</t>
  </si>
  <si>
    <t xml:space="preserve">По числу работающих постов</t>
  </si>
  <si>
    <t xml:space="preserve">Упреждение по току</t>
  </si>
  <si>
    <t xml:space="preserve">Упреждение по току + датчик (цель 0,5 ПДК)</t>
  </si>
  <si>
    <t xml:space="preserve">То же, цель 0,7 ПДК</t>
  </si>
  <si>
    <t xml:space="preserve">Ошибка модели: реальный захват 70 % вместо 80 % — постоянный</t>
  </si>
  <si>
    <t xml:space="preserve">Ошибка модели — по числу постов</t>
  </si>
  <si>
    <t xml:space="preserve">&gt; ПДК</t>
  </si>
  <si>
    <t xml:space="preserve">Ошибка модели — упреждение без датчика</t>
  </si>
  <si>
    <t xml:space="preserve">Ошибка модели — упреждение + датчик (сам добавил воздух)</t>
  </si>
  <si>
    <t xml:space="preserve">В. Универсальный цех, 4 вида сварки (CO₂ 225 А · УОНИ-13/45 · под флюсом АН-348-А · контактная); стационарные отсосы 1500+1500+1500+1000 = 5 500 м³/ч, ОВ по СП 60 — 962 м³/ч</t>
  </si>
  <si>
    <t xml:space="preserve">МВВ / ОВ</t>
  </si>
  <si>
    <t xml:space="preserve">max Σ C/ПДК</t>
  </si>
  <si>
    <t xml:space="preserve">Стандарт: без регулирования / пост.</t>
  </si>
  <si>
    <t xml:space="preserve">«Открыто/закрыто» + ПЧ (для справки) / пост.</t>
  </si>
  <si>
    <t xml:space="preserve">Предлагаемая / пост.</t>
  </si>
  <si>
    <t xml:space="preserve">Предлагаемая / по числу постов</t>
  </si>
  <si>
    <t xml:space="preserve">Предлагаемая / по выделениям + датчики, цель 0,5</t>
  </si>
  <si>
    <t xml:space="preserve">то же, цель 0,8 (та же безопасность, что у пост.)</t>
  </si>
  <si>
    <t xml:space="preserve">то же, цель 0,9</t>
  </si>
  <si>
    <t xml:space="preserve">ВЫВОДЫ (v1.9, 16.10.2026):</t>
  </si>
  <si>
    <t xml:space="preserve">1, Против стандарта (без регулирования) предлагаемая система снижает электроэнергию вентилятора местной вытяжки на 70 % (16,48 → 4,97 кВт·ч) и тепло на 22 % (665 → 519 кВт·ч): простаивающие посты закрыты, обороты снижены, Для справки, против «открыто/закрыто» + ПЧ — ещё −8 % электроэнергии и точность: перерасход 2,6 % времени против 38,4 %,</t>
  </si>
  <si>
    <t xml:space="preserve">2. Общеобменная по потребности — компромисс «тепло ↔ запас по ПДК». При той же безопасности, что у постоянной (max Σ C/ПДК ≈ 0,70), экономия тепла всего −2 % (163 → 160 кВт·ч, таблица В); при допуске до 0,9 ПДК — −14 % (140 кВт·ч).</t>
  </si>
  <si>
    <t xml:space="preserve">3. Простое регулирование «по числу работающих постов» по теплу выгодно (таблица Б: 369 кВт·ч против 660), но не защищено от ошибки модели: при захвате 70 % вместо 80 % Mn макс. 0,205 &gt; ПДК 0,2.</t>
  </si>
  <si>
    <t xml:space="preserve">4. Датчик нужен для безопасности, а не для экономии: при ошибке модели система с датчиком сама добавила воздух (Mn макс. 0,123), без датчика — 0,159.</t>
  </si>
  <si>
    <t xml:space="preserve">5. Связь местной и общеобменной: при снижении расходов отсосов уменьшается разбавление воздуха цеха, общеобменная должна это компенсировать — аргумент за СОГЛАСОВАННОЕ управление (новизна).</t>
  </si>
  <si>
    <t xml:space="preserve">6. Зона дыхания сварщика: при η = 0,8 средняя концентрация Mn у лица ≈ 0,42 мг/м³ — в 5 раз выше фона цеха и выше ПДК во всех режимах; её определяет конструкция отсоса (захват), а не воздухообмен.</t>
  </si>
  <si>
    <t xml:space="preserve">7. Объём цеха (48×24×14,4 = 16 589 м³) в потребный расход не входит (СП 60, Г.2; 7.4.1 запрещает расчёт по кратности для рабочей зоны). Он задаёт инерцию τ = V/L ≈ 79 мин при 12 601 м³/ч — как быстро меняется концентрация и сколько времени у регуляторов.</t>
  </si>
  <si>
    <t xml:space="preserve">Регулирование: пусконаладка, ПИ-регулятор заслонки, частотник, скорость привода</t>
  </si>
  <si>
    <t xml:space="preserve">Регуляторы работают во времени (это делает ядро, лист 9). Здесь — их правила с подстановкой чисел: можно поменять синие ячейки и посмотреть, что сделает регулятор за один шаг. Те же формулы и константы, что в программе (sim.ts, physics.ts).</t>
  </si>
  <si>
    <t xml:space="preserve">А. Пусконаладка: каждый пост получает 1500 м³/ч, частота — минимальная (заслонка самого «трудного» поста открыта)</t>
  </si>
  <si>
    <t xml:space="preserve">Пост 1: угол заслонки после наладки</t>
  </si>
  <si>
    <t xml:space="preserve">α</t>
  </si>
  <si>
    <t xml:space="preserve">°</t>
  </si>
  <si>
    <t xml:space="preserve">Угол подобран ядром (балансировка). Пост 1 — самый дальний, его заслонка открыта.</t>
  </si>
  <si>
    <t xml:space="preserve">ядро, лист 5</t>
  </si>
  <si>
    <t xml:space="preserve">Пост 1: ζ заслонки</t>
  </si>
  <si>
    <t xml:space="preserve">ζ(α) по табл. Идельчика (лист 4)</t>
  </si>
  <si>
    <t xml:space="preserve">Идельчик, 1992, диагр. 9-17</t>
  </si>
  <si>
    <t xml:space="preserve">Пост 1: потеря давления на заслонке</t>
  </si>
  <si>
    <t xml:space="preserve">Δp_з</t>
  </si>
  <si>
    <t xml:space="preserve">Δp = ζ·p_д</t>
  </si>
  <si>
    <t xml:space="preserve">Пост 1: «лишнее» давление, которое гасит заслонка</t>
  </si>
  <si>
    <t xml:space="preserve">ΔΔp</t>
  </si>
  <si>
    <t xml:space="preserve">Δp_з − ζ(0°)·p_д</t>
  </si>
  <si>
    <t xml:space="preserve">Сколько Па сверх открытой заслонки срезает пост. Чем ближе пост к вентилятору, тем больше.</t>
  </si>
  <si>
    <t xml:space="preserve">Пост 2: угол заслонки после наладки</t>
  </si>
  <si>
    <t xml:space="preserve">Пост 2: ζ заслонки</t>
  </si>
  <si>
    <t xml:space="preserve">Пост 2: потеря давления на заслонке</t>
  </si>
  <si>
    <t xml:space="preserve">Пост 2: «лишнее» давление, которое гасит заслонка</t>
  </si>
  <si>
    <t xml:space="preserve">Пост 3: угол заслонки после наладки</t>
  </si>
  <si>
    <t xml:space="preserve">Пост 3: ζ заслонки</t>
  </si>
  <si>
    <t xml:space="preserve">Пост 3: потеря давления на заслонке</t>
  </si>
  <si>
    <t xml:space="preserve">Пост 3: «лишнее» давление, которое гасит заслонка</t>
  </si>
  <si>
    <t xml:space="preserve">Сумма потерь по пути каждого поста одинакова (800,7 Па, лист 5) — у ближних постов труба короче, разницу «съедает» заслонка.</t>
  </si>
  <si>
    <t xml:space="preserve">А2. Пусконаладка стандарта (без регулирования): вентилятор с запасом 10 % на номинальных оборотах, заслонки зажаты так, чтобы каждый пост получил 1500 м³/ч</t>
  </si>
  <si>
    <t xml:space="preserve">Требуемое давление сети при 3 × 1500 м³/ч</t>
  </si>
  <si>
    <t xml:space="preserve">p_треб</t>
  </si>
  <si>
    <t xml:space="preserve">Критическая заслонка открыта (режим листа 5).</t>
  </si>
  <si>
    <t xml:space="preserve">Запас по давлению при подборе вентилятора</t>
  </si>
  <si>
    <t xml:space="preserve">k_зап</t>
  </si>
  <si>
    <t xml:space="preserve">Принятая практика проектирования [Д]; численного запаса в СП 60.13330.2020 нет — источник уточняется.</t>
  </si>
  <si>
    <t xml:space="preserve">Номинальная частота</t>
  </si>
  <si>
    <t xml:space="preserve">p(Q_треб, n_ном) = k_зап·p_треб</t>
  </si>
  <si>
    <t xml:space="preserve">лист 7</t>
  </si>
  <si>
    <t xml:space="preserve">Пост 1: угол заслонки стандарта</t>
  </si>
  <si>
    <t xml:space="preserve">Не меняется всю смену. Заслонка гасит лишние 10 % давления.</t>
  </si>
  <si>
    <t xml:space="preserve">ядро (балансировка при n_ном)</t>
  </si>
  <si>
    <t xml:space="preserve">Пост 1: расход</t>
  </si>
  <si>
    <t xml:space="preserve">Пост 2: угол заслонки стандарта</t>
  </si>
  <si>
    <t xml:space="preserve">Пост 2: расход</t>
  </si>
  <si>
    <t xml:space="preserve">Пост 3: угол заслонки стандарта</t>
  </si>
  <si>
    <t xml:space="preserve">Пост 3: расход</t>
  </si>
  <si>
    <t xml:space="preserve">Стандарт тянет 1500 м³/ч на каждый пост и в паузах между швами: заслонки не закрываются, обороты не снижаются. Предлагаемая система закрывает простаивающие посты и снижает обороты.</t>
  </si>
  <si>
    <t xml:space="preserve">Б. Один шаг ПИ-регулятора заслонки (интегральный закон в пространстве ln ζ)</t>
  </si>
  <si>
    <t xml:space="preserve">Уставка расхода поста</t>
  </si>
  <si>
    <t xml:space="preserve">Q_уст</t>
  </si>
  <si>
    <t xml:space="preserve">Норма для сварочного стола.</t>
  </si>
  <si>
    <t xml:space="preserve">ГОСТ 12.3.003-86, п. 2.11.1</t>
  </si>
  <si>
    <t xml:space="preserve">Измеренный расход (пример)</t>
  </si>
  <si>
    <t xml:space="preserve">Что показал датчик расхода (перепад давления на входе отсоса).</t>
  </si>
  <si>
    <t xml:space="preserve">пример [Д]</t>
  </si>
  <si>
    <t xml:space="preserve">Текущий угол заслонки (пример)</t>
  </si>
  <si>
    <t xml:space="preserve">α_стар</t>
  </si>
  <si>
    <t xml:space="preserve">Коэффициент регулятора</t>
  </si>
  <si>
    <t xml:space="preserve">k_I</t>
  </si>
  <si>
    <t xml:space="preserve">1/с</t>
  </si>
  <si>
    <t xml:space="preserve">Насколько резко регулятор исправляет ошибку. Подобран по чувствительности (блок 3, лист 9).</t>
  </si>
  <si>
    <t xml:space="preserve">автор [А] (sim.ts)</t>
  </si>
  <si>
    <t xml:space="preserve">Шаг регулятора</t>
  </si>
  <si>
    <t xml:space="preserve">с</t>
  </si>
  <si>
    <t xml:space="preserve">sim.ts</t>
  </si>
  <si>
    <t xml:space="preserve">ζ при текущем угле</t>
  </si>
  <si>
    <t xml:space="preserve">ζ_стар</t>
  </si>
  <si>
    <t xml:space="preserve">ζ(α) — интерполяция ln ζ (лист 4)</t>
  </si>
  <si>
    <t xml:space="preserve">Относительная ошибка</t>
  </si>
  <si>
    <t xml:space="preserve">e</t>
  </si>
  <si>
    <t xml:space="preserve">e = (Q − Q_уст)/Q_уст</t>
  </si>
  <si>
    <t xml:space="preserve">Минус — воздуха мало, плюс — много.</t>
  </si>
  <si>
    <t xml:space="preserve">Поправка ln ζ за шаг</t>
  </si>
  <si>
    <t xml:space="preserve">Δln ζ</t>
  </si>
  <si>
    <t xml:space="preserve">Δln ζ = k_I·e·Δt</t>
  </si>
  <si>
    <t xml:space="preserve">В логарифме — потому что ζ заслонки меняется от 0,2 до 625: шаг «на 10 % сопротивления» одинаков при любом угле.</t>
  </si>
  <si>
    <t xml:space="preserve">автор [М]</t>
  </si>
  <si>
    <t xml:space="preserve">Новое ζ (с ограничением 0,2…625)</t>
  </si>
  <si>
    <t xml:space="preserve">ζ_нов</t>
  </si>
  <si>
    <t xml:space="preserve">ζ_нов = ζ_стар·e^(Δln ζ), в пределах ζ(0°)…ζ(70°)</t>
  </si>
  <si>
    <t xml:space="preserve">Новый угол (обратная функция таблицы)</t>
  </si>
  <si>
    <t xml:space="preserve">α_нов</t>
  </si>
  <si>
    <t xml:space="preserve">α = α_i + (ln ζ − ln ζ_i)/(ln ζ_i+1 − ln ζ_i)·(α_i+1 − α_i)</t>
  </si>
  <si>
    <t xml:space="preserve">Регулятор думает в сопротивлении, а привод получает угол.</t>
  </si>
  <si>
    <t xml:space="preserve">physics.ts, damperAngleForZeta</t>
  </si>
  <si>
    <t xml:space="preserve">Время полного хода привода</t>
  </si>
  <si>
    <t xml:space="preserve">T_ход</t>
  </si>
  <si>
    <t xml:space="preserve">В модели 8 с (ряд ГОСТ 7192-89). МЭО-6,3/10 — 10 с.</t>
  </si>
  <si>
    <t xml:space="preserve">ГОСТ 7192-89 [Н]</t>
  </si>
  <si>
    <t xml:space="preserve">Скорость поворота</t>
  </si>
  <si>
    <t xml:space="preserve">ω</t>
  </si>
  <si>
    <t xml:space="preserve">°/с</t>
  </si>
  <si>
    <t xml:space="preserve">ω = 90/T_ход</t>
  </si>
  <si>
    <t xml:space="preserve">Поворот за этот шаг</t>
  </si>
  <si>
    <t xml:space="preserve">Δα</t>
  </si>
  <si>
    <t xml:space="preserve">Δα = min(|α_нов − α_стар|; ω·Δt)</t>
  </si>
  <si>
    <t xml:space="preserve">Привод не может повернуться быстрее своей скорости.</t>
  </si>
  <si>
    <t xml:space="preserve">В. Правило частотника (тоже каждую секунду)</t>
  </si>
  <si>
    <t xml:space="preserve">Угол заслонки поста 1 (пример)</t>
  </si>
  <si>
    <t xml:space="preserve">α₁</t>
  </si>
  <si>
    <t xml:space="preserve">Угол заслонки поста 2 (пример)</t>
  </si>
  <si>
    <t xml:space="preserve">α₂</t>
  </si>
  <si>
    <t xml:space="preserve">Угол заслонки поста 3 (пример)</t>
  </si>
  <si>
    <t xml:space="preserve">α₃</t>
  </si>
  <si>
    <t xml:space="preserve">Наибольший недобор расхода (доля)</t>
  </si>
  <si>
    <t xml:space="preserve">δ</t>
  </si>
  <si>
    <t xml:space="preserve">δ = max((Q_уст − Q)/Q_уст)</t>
  </si>
  <si>
    <t xml:space="preserve">Самая открытая заслонка</t>
  </si>
  <si>
    <t xml:space="preserve">α_мин</t>
  </si>
  <si>
    <t xml:space="preserve">Изменение частоты за шаг</t>
  </si>
  <si>
    <t xml:space="preserve">Δn</t>
  </si>
  <si>
    <t xml:space="preserve">α_мин &gt; 5° → Δn = −1·(α_мин − 5)·Δt; α_мин &lt; 2° и δ &gt; 0,002 → Δn = 400·δ·Δt</t>
  </si>
  <si>
    <t xml:space="preserve">Все заслонки прикрыты — запас давления гасится зря, частоту снижаем. Открытой не хватает — повышаем.</t>
  </si>
  <si>
    <t xml:space="preserve">автор [А] (sim.ts); прототип — сброс давления VAV (ASHRAE, 2010)</t>
  </si>
  <si>
    <t xml:space="preserve">Г. Скорость привода — результат расчёта смены (ядро)</t>
  </si>
  <si>
    <t xml:space="preserve">Ход 2.5 с: недобор расхода &lt; 95 %, доля времени</t>
  </si>
  <si>
    <t xml:space="preserve">быстрый зарубежный (Belimo LMQ, в РФ не поставляется)</t>
  </si>
  <si>
    <t xml:space="preserve">ядро, sens-run</t>
  </si>
  <si>
    <t xml:space="preserve">Ход 2.5 с: Mn в цехе, среднее за смену</t>
  </si>
  <si>
    <t xml:space="preserve">ПДК 0,2 мг/м³</t>
  </si>
  <si>
    <t xml:space="preserve">Ход 10 с: недобор расхода &lt; 95 %, доля времени</t>
  </si>
  <si>
    <t xml:space="preserve">МЭО-6,3/10 (ЗЭиМ, Чебоксары)</t>
  </si>
  <si>
    <t xml:space="preserve">Ход 10 с: Mn в цехе, среднее за смену</t>
  </si>
  <si>
    <t xml:space="preserve">Ход 25 с: недобор расхода &lt; 95 %, доля времени</t>
  </si>
  <si>
    <t xml:space="preserve">Ход 25 с: Mn в цехе, среднее за смену</t>
  </si>
  <si>
    <t xml:space="preserve">Ход 150 с: недобор расхода &lt; 95 %, доля времени</t>
  </si>
  <si>
    <t xml:space="preserve">Belimo LM24A-SR; ADA-24-PRO</t>
  </si>
  <si>
    <t xml:space="preserve">Ход 150 с: Mn в цехе, среднее за смену</t>
  </si>
  <si>
    <t xml:space="preserve">ПДК 0,2 мг/м³ — ПРЕВЫШЕНИЕ</t>
  </si>
  <si>
    <t xml:space="preserve">Концентрация в цехе во времени после включения 3 постов</t>
  </si>
  <si>
    <t xml:space="preserve">Уравнение баланса V·dC/dt = m − L·(C − q_пр). Решение: C(t) = q_пр + (m/L)·(1 − e^(−t/τ)), τ = V/L. Ядро решает то же уравнение численно с шагом 1 с — сверка в колонке «Ядро».</t>
  </si>
  <si>
    <t xml:space="preserve">48 × 24 × 14,4</t>
  </si>
  <si>
    <t xml:space="preserve">Размеры цеха в потребный расход не входят (СП 60, Г.2; 7.4.1), но задают инерцию.</t>
  </si>
  <si>
    <t xml:space="preserve">Марганец в воздух цеха</t>
  </si>
  <si>
    <t xml:space="preserve">m</t>
  </si>
  <si>
    <t xml:space="preserve">Марганец в приточном воздухе</t>
  </si>
  <si>
    <t xml:space="preserve">Постоянная времени цеха</t>
  </si>
  <si>
    <t xml:space="preserve">τ</t>
  </si>
  <si>
    <t xml:space="preserve">τ = V/L</t>
  </si>
  <si>
    <t xml:space="preserve">За τ концентрация проходит 63 % пути до предела, за 3τ — 95 %.</t>
  </si>
  <si>
    <t xml:space="preserve">[М] полное перемешивание</t>
  </si>
  <si>
    <t xml:space="preserve">То же в минутах</t>
  </si>
  <si>
    <t xml:space="preserve">мин</t>
  </si>
  <si>
    <t xml:space="preserve">Предельная концентрация</t>
  </si>
  <si>
    <t xml:space="preserve">C∞</t>
  </si>
  <si>
    <t xml:space="preserve">C∞ = q_пр + m/L</t>
  </si>
  <si>
    <t xml:space="preserve">Равна ПДК — так и подобран L на листе 3.</t>
  </si>
  <si>
    <t xml:space="preserve">t, ч</t>
  </si>
  <si>
    <t xml:space="preserve">C(t), мг/м³ (Excel)</t>
  </si>
  <si>
    <t xml:space="preserve">C(t), мг/м³ (ядро)</t>
  </si>
  <si>
    <t xml:space="preserve">Разница, %</t>
  </si>
  <si>
    <t xml:space="preserve">Доля ПДК</t>
  </si>
  <si>
    <t xml:space="preserve">Вывод: через 1 ч концентрация ≈ 0,107 мг/м³ (половина ПДК), к 4 ч — 95 % предела. Цех инерционный: на коротких паузах общеобменную можно снижать без риска. Разница с ядром — от численного шага 1 с (&lt; 0,1 %).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</si>
</sst>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E+00"/>
    <numFmt numFmtId="167" formatCode="0.0000"/>
    <numFmt numFmtId="168" formatCode="0.0"/>
    <numFmt numFmtId="169" formatCode="0"/>
    <numFmt numFmtId="170" formatCode="0.00"/>
    <numFmt numFmtId="171" formatCode="General"/>
    <numFmt numFmtId="172" formatCode="0.000000"/>
    <numFmt numFmtId="173" formatCode="0.0000%"/>
    <numFmt numFmtId="174" formatCode="0.0%"/>
    <numFmt numFmtId="175" formatCode="0.000%"/>
    <numFmt numFmtId="17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se.garant.ru/400536193/" TargetMode="External"/><Relationship Id="rId2" Type="http://schemas.openxmlformats.org/officeDocument/2006/relationships/hyperlink" Target="https://www.consultant.ru/document/cons_doc_LAW_375839/" TargetMode="External"/><Relationship Id="rId3" Type="http://schemas.openxmlformats.org/officeDocument/2006/relationships/hyperlink" Target="https://meganorm.ru/Index1/7/7136.htm" TargetMode="External"/><Relationship Id="rId4" Type="http://schemas.openxmlformats.org/officeDocument/2006/relationships/hyperlink" Target="https://legalacts.ru/doc/gost-121005-88-mezhgosudarstvennyi-standart-sistema-standartov-bezopasnosti/" TargetMode="External"/><Relationship Id="rId5" Type="http://schemas.openxmlformats.org/officeDocument/2006/relationships/hyperlink" Target="https://cn.gostinfo.ru/catalog/Details/?id=5484995" TargetMode="External"/><Relationship Id="rId6" Type="http://schemas.openxmlformats.org/officeDocument/2006/relationships/hyperlink" Target="https://meganorm.ru/Index/69/69841.htm" TargetMode="External"/><Relationship Id="rId7" Type="http://schemas.openxmlformats.org/officeDocument/2006/relationships/hyperlink" Target="https://cn.gostinfo.ru/catalog/Details/?id=6316233" TargetMode="External"/><Relationship Id="rId8" Type="http://schemas.openxmlformats.org/officeDocument/2006/relationships/hyperlink" Target="https://dnaop.com/html/69390/doc-&#1043;&#1054;&#1057;&#1058;_7192-89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9.85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2" t="s">
        <v>4</v>
      </c>
    </row>
    <row r="7" customFormat="false" ht="26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2" t="s">
        <v>7</v>
      </c>
    </row>
    <row r="11" customFormat="false" ht="26.85" hidden="false" customHeight="false" outlineLevel="0" collapsed="false">
      <c r="B11" s="2" t="s">
        <v>8</v>
      </c>
    </row>
    <row r="12" customFormat="false" ht="26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26.85" hidden="false" customHeight="false" outlineLevel="0" collapsed="false">
      <c r="B16" s="2" t="s">
        <v>12</v>
      </c>
    </row>
    <row r="17" customFormat="false" ht="26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26.85" hidden="false" customHeight="false" outlineLevel="0" collapsed="false">
      <c r="B19" s="2" t="s">
        <v>15</v>
      </c>
    </row>
    <row r="20" customFormat="false" ht="26.85" hidden="false" customHeight="false" outlineLevel="0" collapsed="false">
      <c r="B20" s="2" t="s">
        <v>16</v>
      </c>
    </row>
    <row r="21" customFormat="false" ht="26.85" hidden="false" customHeight="false" outlineLevel="0" collapsed="false">
      <c r="B21" s="2" t="s">
        <v>17</v>
      </c>
    </row>
    <row r="22" customFormat="false" ht="26.8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2" t="s">
        <v>19</v>
      </c>
    </row>
    <row r="24" customFormat="false" ht="26.85" hidden="false" customHeight="false" outlineLevel="0" collapsed="false">
      <c r="B24" s="2" t="s">
        <v>20</v>
      </c>
    </row>
    <row r="25" customFormat="false" ht="26.85" hidden="false" customHeight="false" outlineLevel="0" collapsed="false">
      <c r="B25" s="2" t="s">
        <v>21</v>
      </c>
    </row>
    <row r="26" customFormat="false" ht="26.85" hidden="false" customHeight="false" outlineLevel="0" collapsed="false">
      <c r="B26" s="2" t="s">
        <v>22</v>
      </c>
    </row>
    <row r="27" customFormat="false" ht="15" hidden="false" customHeight="false" outlineLevel="0" collapsed="false">
      <c r="B27" s="2" t="s">
        <v>23</v>
      </c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3" t="s">
        <v>24</v>
      </c>
    </row>
    <row r="30" customFormat="false" ht="39.55" hidden="false" customHeight="false" outlineLevel="0" collapsed="false">
      <c r="B30" s="2" t="s">
        <v>25</v>
      </c>
    </row>
    <row r="31" customFormat="false" ht="26.85" hidden="false" customHeight="false" outlineLevel="0" collapsed="false">
      <c r="B31" s="2" t="s">
        <v>26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3" t="s">
        <v>27</v>
      </c>
    </row>
    <row r="34" customFormat="false" ht="39.55" hidden="false" customHeight="false" outlineLevel="0" collapsed="false">
      <c r="B34" s="2" t="s">
        <v>28</v>
      </c>
    </row>
    <row r="35" customFormat="false" ht="26.85" hidden="false" customHeight="false" outlineLevel="0" collapsed="false">
      <c r="B35" s="2" t="s">
        <v>29</v>
      </c>
    </row>
    <row r="36" customFormat="false" ht="26.85" hidden="false" customHeight="false" outlineLevel="0" collapsed="false">
      <c r="B36" s="2" t="s">
        <v>30</v>
      </c>
    </row>
    <row r="37" customFormat="false" ht="26.85" hidden="false" customHeight="false" outlineLevel="0" collapsed="false">
      <c r="B37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5" t="s">
        <v>32</v>
      </c>
    </row>
    <row r="2" customFormat="false" ht="15" hidden="false" customHeight="false" outlineLevel="0" collapsed="false">
      <c r="A2" s="6" t="s">
        <v>33</v>
      </c>
    </row>
    <row r="4" customFormat="false" ht="15" hidden="false" customHeight="fals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</row>
    <row r="5" customFormat="false" ht="64.9" hidden="false" customHeight="false" outlineLevel="0" collapsed="false">
      <c r="A5" s="8" t="n">
        <v>1</v>
      </c>
      <c r="B5" s="8" t="s">
        <v>40</v>
      </c>
      <c r="C5" s="8" t="s">
        <v>41</v>
      </c>
      <c r="D5" s="8" t="s">
        <v>42</v>
      </c>
      <c r="E5" s="8" t="s">
        <v>43</v>
      </c>
      <c r="F5" s="9" t="s">
        <v>44</v>
      </c>
    </row>
    <row r="6" customFormat="false" ht="52.2" hidden="false" customHeight="false" outlineLevel="0" collapsed="false">
      <c r="A6" s="8" t="n">
        <v>2</v>
      </c>
      <c r="B6" s="8" t="s">
        <v>45</v>
      </c>
      <c r="C6" s="8" t="s">
        <v>46</v>
      </c>
      <c r="D6" s="8" t="s">
        <v>47</v>
      </c>
      <c r="E6" s="8" t="s">
        <v>48</v>
      </c>
      <c r="F6" s="9" t="s">
        <v>49</v>
      </c>
    </row>
    <row r="7" customFormat="false" ht="39.55" hidden="false" customHeight="false" outlineLevel="0" collapsed="false">
      <c r="A7" s="8" t="n">
        <v>3</v>
      </c>
      <c r="B7" s="8" t="s">
        <v>50</v>
      </c>
      <c r="C7" s="8" t="s">
        <v>51</v>
      </c>
      <c r="D7" s="8" t="s">
        <v>52</v>
      </c>
      <c r="E7" s="8" t="s">
        <v>53</v>
      </c>
      <c r="F7" s="9" t="s">
        <v>54</v>
      </c>
    </row>
    <row r="8" customFormat="false" ht="39.55" hidden="false" customHeight="false" outlineLevel="0" collapsed="false">
      <c r="A8" s="8" t="n">
        <v>4</v>
      </c>
      <c r="B8" s="8" t="s">
        <v>55</v>
      </c>
      <c r="C8" s="8" t="s">
        <v>56</v>
      </c>
      <c r="D8" s="8" t="s">
        <v>57</v>
      </c>
      <c r="E8" s="8" t="s">
        <v>53</v>
      </c>
      <c r="F8" s="9" t="s">
        <v>58</v>
      </c>
    </row>
    <row r="9" customFormat="false" ht="52.2" hidden="false" customHeight="false" outlineLevel="0" collapsed="false">
      <c r="A9" s="8" t="n">
        <v>5</v>
      </c>
      <c r="B9" s="8" t="s">
        <v>59</v>
      </c>
      <c r="C9" s="8" t="s">
        <v>60</v>
      </c>
      <c r="D9" s="8" t="s">
        <v>61</v>
      </c>
      <c r="E9" s="8" t="s">
        <v>62</v>
      </c>
      <c r="F9" s="9" t="s">
        <v>63</v>
      </c>
    </row>
    <row r="10" customFormat="false" ht="64.9" hidden="false" customHeight="false" outlineLevel="0" collapsed="false">
      <c r="A10" s="8" t="n">
        <v>6</v>
      </c>
      <c r="B10" s="8" t="s">
        <v>64</v>
      </c>
      <c r="C10" s="8" t="s">
        <v>65</v>
      </c>
      <c r="D10" s="8" t="s">
        <v>61</v>
      </c>
      <c r="E10" s="8" t="s">
        <v>66</v>
      </c>
      <c r="F10" s="8" t="s">
        <v>67</v>
      </c>
    </row>
    <row r="11" customFormat="false" ht="39.55" hidden="false" customHeight="false" outlineLevel="0" collapsed="false">
      <c r="A11" s="8" t="n">
        <v>7</v>
      </c>
      <c r="B11" s="8" t="s">
        <v>68</v>
      </c>
      <c r="C11" s="8" t="s">
        <v>69</v>
      </c>
      <c r="D11" s="8" t="s">
        <v>70</v>
      </c>
      <c r="E11" s="8" t="s">
        <v>53</v>
      </c>
      <c r="F11" s="8" t="s">
        <v>71</v>
      </c>
    </row>
    <row r="12" customFormat="false" ht="39.55" hidden="false" customHeight="false" outlineLevel="0" collapsed="false">
      <c r="A12" s="8" t="n">
        <v>8</v>
      </c>
      <c r="B12" s="8" t="s">
        <v>72</v>
      </c>
      <c r="C12" s="8" t="s">
        <v>73</v>
      </c>
      <c r="D12" s="8" t="s">
        <v>74</v>
      </c>
      <c r="E12" s="8" t="s">
        <v>53</v>
      </c>
      <c r="F12" s="9" t="s">
        <v>75</v>
      </c>
    </row>
    <row r="13" customFormat="false" ht="26.85" hidden="false" customHeight="false" outlineLevel="0" collapsed="false">
      <c r="A13" s="8" t="n">
        <v>9</v>
      </c>
      <c r="B13" s="8" t="s">
        <v>76</v>
      </c>
      <c r="C13" s="8" t="s">
        <v>77</v>
      </c>
      <c r="D13" s="8" t="s">
        <v>78</v>
      </c>
      <c r="E13" s="8" t="s">
        <v>53</v>
      </c>
      <c r="F13" s="9" t="s">
        <v>79</v>
      </c>
    </row>
    <row r="14" customFormat="false" ht="26.85" hidden="false" customHeight="false" outlineLevel="0" collapsed="false">
      <c r="A14" s="8" t="n">
        <v>10</v>
      </c>
      <c r="B14" s="8" t="s">
        <v>80</v>
      </c>
      <c r="C14" s="8" t="s">
        <v>81</v>
      </c>
      <c r="D14" s="8" t="s">
        <v>82</v>
      </c>
      <c r="E14" s="8" t="s">
        <v>53</v>
      </c>
      <c r="F14" s="9" t="s">
        <v>83</v>
      </c>
    </row>
    <row r="15" customFormat="false" ht="52.2" hidden="false" customHeight="false" outlineLevel="0" collapsed="false">
      <c r="A15" s="8" t="n">
        <v>11</v>
      </c>
      <c r="B15" s="8" t="s">
        <v>84</v>
      </c>
      <c r="C15" s="8" t="s">
        <v>85</v>
      </c>
      <c r="D15" s="8" t="s">
        <v>86</v>
      </c>
      <c r="E15" s="8" t="s">
        <v>87</v>
      </c>
      <c r="F15" s="8" t="s">
        <v>88</v>
      </c>
    </row>
    <row r="16" customFormat="false" ht="26.85" hidden="false" customHeight="false" outlineLevel="0" collapsed="false">
      <c r="A16" s="8" t="n">
        <v>12</v>
      </c>
      <c r="B16" s="8" t="s">
        <v>89</v>
      </c>
      <c r="C16" s="8" t="s">
        <v>90</v>
      </c>
      <c r="D16" s="8" t="s">
        <v>91</v>
      </c>
      <c r="E16" s="8" t="s">
        <v>92</v>
      </c>
      <c r="F16" s="8" t="s">
        <v>93</v>
      </c>
    </row>
    <row r="17" customFormat="false" ht="52.2" hidden="false" customHeight="false" outlineLevel="0" collapsed="false">
      <c r="A17" s="8" t="n">
        <v>13</v>
      </c>
      <c r="B17" s="8" t="s">
        <v>94</v>
      </c>
      <c r="C17" s="8" t="s">
        <v>95</v>
      </c>
      <c r="D17" s="8" t="s">
        <v>96</v>
      </c>
      <c r="E17" s="8" t="s">
        <v>97</v>
      </c>
      <c r="F17" s="8" t="s">
        <v>93</v>
      </c>
    </row>
    <row r="18" customFormat="false" ht="39.55" hidden="false" customHeight="false" outlineLevel="0" collapsed="false">
      <c r="A18" s="8" t="n">
        <v>14</v>
      </c>
      <c r="B18" s="8" t="s">
        <v>98</v>
      </c>
      <c r="C18" s="8" t="s">
        <v>99</v>
      </c>
      <c r="D18" s="8" t="s">
        <v>100</v>
      </c>
      <c r="E18" s="8" t="s">
        <v>101</v>
      </c>
      <c r="F18" s="8" t="s">
        <v>93</v>
      </c>
    </row>
    <row r="19" customFormat="false" ht="39.55" hidden="false" customHeight="false" outlineLevel="0" collapsed="false">
      <c r="A19" s="8" t="n">
        <v>15</v>
      </c>
      <c r="B19" s="8" t="s">
        <v>102</v>
      </c>
      <c r="C19" s="8" t="s">
        <v>103</v>
      </c>
      <c r="D19" s="8" t="s">
        <v>57</v>
      </c>
      <c r="E19" s="8" t="s">
        <v>92</v>
      </c>
      <c r="F19" s="8" t="s">
        <v>93</v>
      </c>
    </row>
    <row r="20" customFormat="false" ht="26.85" hidden="false" customHeight="false" outlineLevel="0" collapsed="false">
      <c r="A20" s="8" t="n">
        <v>16</v>
      </c>
      <c r="B20" s="8" t="s">
        <v>104</v>
      </c>
      <c r="C20" s="8" t="s">
        <v>105</v>
      </c>
      <c r="D20" s="8" t="s">
        <v>91</v>
      </c>
      <c r="E20" s="8" t="s">
        <v>92</v>
      </c>
      <c r="F20" s="8" t="s">
        <v>93</v>
      </c>
    </row>
    <row r="21" customFormat="false" ht="26.85" hidden="false" customHeight="false" outlineLevel="0" collapsed="false">
      <c r="A21" s="8" t="n">
        <v>17</v>
      </c>
      <c r="B21" s="8" t="s">
        <v>106</v>
      </c>
      <c r="C21" s="8" t="s">
        <v>107</v>
      </c>
      <c r="D21" s="8" t="s">
        <v>78</v>
      </c>
      <c r="E21" s="8" t="s">
        <v>108</v>
      </c>
      <c r="F21" s="8" t="s">
        <v>93</v>
      </c>
    </row>
    <row r="23" customFormat="false" ht="15" hidden="false" customHeight="false" outlineLevel="0" collapsed="false">
      <c r="B23" s="6" t="s">
        <v>109</v>
      </c>
    </row>
  </sheetData>
  <hyperlinks>
    <hyperlink ref="F5" r:id="rId1" display="https://base.garant.ru/400536193/"/>
    <hyperlink ref="F6" r:id="rId2" display="https://www.consultant.ru/document/cons_doc_LAW_375839/"/>
    <hyperlink ref="F7" r:id="rId3" display="https://meganorm.ru/Index1/7/7136.htm"/>
    <hyperlink ref="F8" r:id="rId4" display="https://legalacts.ru/doc/gost-121005-88-mezhgosudarstvennyi-standart-sistema-standartov-bezopasnosti/"/>
    <hyperlink ref="F9" r:id="rId5" display="https://cn.gostinfo.ru/catalog/Details/?id=5484995"/>
    <hyperlink ref="F12" r:id="rId6" display="https://meganorm.ru/Index/69/69841.htm"/>
    <hyperlink ref="F13" r:id="rId7" display="https://cn.gostinfo.ru/catalog/Details/?id=6316233"/>
    <hyperlink ref="F14" r:id="rId8" display="https://dnaop.com/html/69390/doc-%D0%93%D0%9E%D0%A1%D0%A2_7192-8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110</v>
      </c>
    </row>
    <row r="2" customFormat="false" ht="60" hidden="false" customHeight="true" outlineLevel="0" collapsed="false">
      <c r="A2" s="10" t="s">
        <v>111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119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120</v>
      </c>
      <c r="C6" s="8" t="s">
        <v>121</v>
      </c>
      <c r="D6" s="12" t="n">
        <v>1.2</v>
      </c>
      <c r="E6" s="8" t="s">
        <v>122</v>
      </c>
      <c r="F6" s="8" t="s">
        <v>123</v>
      </c>
      <c r="G6" s="8" t="s">
        <v>124</v>
      </c>
      <c r="H6" s="8" t="s">
        <v>125</v>
      </c>
    </row>
    <row r="7" customFormat="false" ht="26.85" hidden="false" customHeight="false" outlineLevel="0" collapsed="false">
      <c r="A7" s="8" t="n">
        <v>2</v>
      </c>
      <c r="B7" s="8" t="s">
        <v>126</v>
      </c>
      <c r="C7" s="8" t="s">
        <v>127</v>
      </c>
      <c r="D7" s="13" t="n">
        <v>1.506E-005</v>
      </c>
      <c r="E7" s="8" t="s">
        <v>128</v>
      </c>
      <c r="F7" s="8" t="s">
        <v>123</v>
      </c>
      <c r="G7" s="8" t="s">
        <v>129</v>
      </c>
      <c r="H7" s="8" t="s">
        <v>130</v>
      </c>
    </row>
    <row r="8" customFormat="false" ht="26.85" hidden="false" customHeight="false" outlineLevel="0" collapsed="false">
      <c r="A8" s="8" t="n">
        <v>3</v>
      </c>
      <c r="B8" s="8" t="s">
        <v>131</v>
      </c>
      <c r="C8" s="8" t="s">
        <v>132</v>
      </c>
      <c r="D8" s="12" t="n">
        <v>1.005</v>
      </c>
      <c r="E8" s="8" t="s">
        <v>133</v>
      </c>
      <c r="F8" s="8" t="s">
        <v>123</v>
      </c>
      <c r="G8" s="8" t="s">
        <v>134</v>
      </c>
      <c r="H8" s="8" t="s">
        <v>130</v>
      </c>
    </row>
    <row r="9" customFormat="false" ht="15" hidden="false" customHeight="false" outlineLevel="0" collapsed="false">
      <c r="A9" s="11" t="s">
        <v>135</v>
      </c>
      <c r="B9" s="11"/>
      <c r="C9" s="11"/>
      <c r="D9" s="11"/>
      <c r="E9" s="11"/>
      <c r="F9" s="11"/>
      <c r="G9" s="11"/>
      <c r="H9" s="11"/>
    </row>
    <row r="10" customFormat="false" ht="26.85" hidden="false" customHeight="false" outlineLevel="0" collapsed="false">
      <c r="A10" s="8" t="n">
        <v>4</v>
      </c>
      <c r="B10" s="8" t="s">
        <v>136</v>
      </c>
      <c r="C10" s="8" t="s">
        <v>137</v>
      </c>
      <c r="D10" s="14" t="n">
        <v>0.0001</v>
      </c>
      <c r="E10" s="8" t="s">
        <v>138</v>
      </c>
      <c r="F10" s="8" t="s">
        <v>123</v>
      </c>
      <c r="G10" s="8" t="s">
        <v>139</v>
      </c>
      <c r="H10" s="8" t="s">
        <v>140</v>
      </c>
    </row>
    <row r="11" customFormat="false" ht="26.85" hidden="false" customHeight="false" outlineLevel="0" collapsed="false">
      <c r="A11" s="8" t="n">
        <v>5</v>
      </c>
      <c r="B11" s="8" t="s">
        <v>141</v>
      </c>
      <c r="C11" s="8" t="s">
        <v>142</v>
      </c>
      <c r="D11" s="15" t="n">
        <v>8</v>
      </c>
      <c r="E11" s="8" t="s">
        <v>143</v>
      </c>
      <c r="F11" s="8" t="s">
        <v>123</v>
      </c>
      <c r="G11" s="8" t="s">
        <v>144</v>
      </c>
      <c r="H11" s="8" t="s">
        <v>145</v>
      </c>
    </row>
    <row r="12" customFormat="false" ht="15" hidden="false" customHeight="false" outlineLevel="0" collapsed="false">
      <c r="A12" s="11" t="s">
        <v>146</v>
      </c>
      <c r="B12" s="11"/>
      <c r="C12" s="11"/>
      <c r="D12" s="11"/>
      <c r="E12" s="11"/>
      <c r="F12" s="11"/>
      <c r="G12" s="11"/>
      <c r="H12" s="11"/>
    </row>
    <row r="13" customFormat="false" ht="26.85" hidden="false" customHeight="false" outlineLevel="0" collapsed="false">
      <c r="A13" s="8" t="n">
        <v>6</v>
      </c>
      <c r="B13" s="8" t="s">
        <v>147</v>
      </c>
      <c r="C13" s="8" t="s">
        <v>148</v>
      </c>
      <c r="D13" s="16" t="n">
        <v>3</v>
      </c>
      <c r="E13" s="8" t="s">
        <v>149</v>
      </c>
      <c r="F13" s="8" t="s">
        <v>123</v>
      </c>
      <c r="G13" s="8" t="s">
        <v>150</v>
      </c>
      <c r="H13" s="8" t="s">
        <v>151</v>
      </c>
    </row>
    <row r="14" customFormat="false" ht="26.85" hidden="false" customHeight="false" outlineLevel="0" collapsed="false">
      <c r="A14" s="8" t="n">
        <v>7</v>
      </c>
      <c r="B14" s="8" t="s">
        <v>152</v>
      </c>
      <c r="C14" s="8" t="s">
        <v>153</v>
      </c>
      <c r="D14" s="16" t="n">
        <v>225</v>
      </c>
      <c r="E14" s="8" t="s">
        <v>154</v>
      </c>
      <c r="F14" s="8" t="s">
        <v>123</v>
      </c>
      <c r="G14" s="8" t="s">
        <v>155</v>
      </c>
      <c r="H14" s="8" t="s">
        <v>156</v>
      </c>
    </row>
    <row r="15" customFormat="false" ht="15" hidden="false" customHeight="false" outlineLevel="0" collapsed="false">
      <c r="A15" s="8" t="n">
        <v>8</v>
      </c>
      <c r="B15" s="8" t="s">
        <v>157</v>
      </c>
      <c r="C15" s="8" t="s">
        <v>158</v>
      </c>
      <c r="D15" s="15" t="n">
        <v>1.2</v>
      </c>
      <c r="E15" s="8" t="s">
        <v>159</v>
      </c>
      <c r="F15" s="8" t="s">
        <v>123</v>
      </c>
      <c r="G15" s="8"/>
      <c r="H15" s="8" t="s">
        <v>160</v>
      </c>
    </row>
    <row r="16" customFormat="false" ht="15" hidden="false" customHeight="false" outlineLevel="0" collapsed="false">
      <c r="A16" s="8" t="n">
        <v>9</v>
      </c>
      <c r="B16" s="8" t="s">
        <v>161</v>
      </c>
      <c r="C16" s="8" t="s">
        <v>162</v>
      </c>
      <c r="D16" s="16" t="n">
        <v>15</v>
      </c>
      <c r="E16" s="8" t="s">
        <v>159</v>
      </c>
      <c r="F16" s="8" t="s">
        <v>123</v>
      </c>
      <c r="G16" s="8" t="s">
        <v>163</v>
      </c>
      <c r="H16" s="8" t="s">
        <v>164</v>
      </c>
    </row>
    <row r="17" customFormat="false" ht="15" hidden="false" customHeight="false" outlineLevel="0" collapsed="false">
      <c r="A17" s="8" t="n">
        <v>10</v>
      </c>
      <c r="B17" s="8" t="s">
        <v>165</v>
      </c>
      <c r="C17" s="8" t="s">
        <v>166</v>
      </c>
      <c r="D17" s="16" t="n">
        <v>1500</v>
      </c>
      <c r="E17" s="8" t="s">
        <v>167</v>
      </c>
      <c r="F17" s="8" t="s">
        <v>123</v>
      </c>
      <c r="G17" s="8" t="s">
        <v>168</v>
      </c>
      <c r="H17" s="8" t="s">
        <v>169</v>
      </c>
    </row>
    <row r="18" customFormat="false" ht="26.85" hidden="false" customHeight="false" outlineLevel="0" collapsed="false">
      <c r="A18" s="8" t="n">
        <v>11</v>
      </c>
      <c r="B18" s="8" t="s">
        <v>170</v>
      </c>
      <c r="C18" s="8" t="s">
        <v>171</v>
      </c>
      <c r="D18" s="17" t="n">
        <v>0.8</v>
      </c>
      <c r="E18" s="8" t="s">
        <v>123</v>
      </c>
      <c r="F18" s="8" t="s">
        <v>123</v>
      </c>
      <c r="G18" s="8" t="s">
        <v>172</v>
      </c>
      <c r="H18" s="8" t="s">
        <v>173</v>
      </c>
    </row>
    <row r="19" customFormat="false" ht="15" hidden="false" customHeight="false" outlineLevel="0" collapsed="false">
      <c r="A19" s="11" t="s">
        <v>174</v>
      </c>
      <c r="B19" s="11"/>
      <c r="C19" s="11"/>
      <c r="D19" s="11"/>
      <c r="E19" s="11"/>
      <c r="F19" s="11"/>
      <c r="G19" s="11"/>
      <c r="H19" s="11"/>
    </row>
    <row r="20" customFormat="false" ht="26.85" hidden="false" customHeight="false" outlineLevel="0" collapsed="false">
      <c r="A20" s="8" t="n">
        <v>12</v>
      </c>
      <c r="B20" s="8" t="s">
        <v>175</v>
      </c>
      <c r="C20" s="8" t="s">
        <v>176</v>
      </c>
      <c r="D20" s="17" t="n">
        <v>10</v>
      </c>
      <c r="E20" s="8" t="s">
        <v>177</v>
      </c>
      <c r="F20" s="8" t="s">
        <v>123</v>
      </c>
      <c r="G20" s="8" t="s">
        <v>178</v>
      </c>
      <c r="H20" s="8" t="s">
        <v>179</v>
      </c>
    </row>
    <row r="21" customFormat="false" ht="15" hidden="false" customHeight="false" outlineLevel="0" collapsed="false">
      <c r="A21" s="8" t="n">
        <v>13</v>
      </c>
      <c r="B21" s="8" t="s">
        <v>180</v>
      </c>
      <c r="C21" s="8" t="s">
        <v>181</v>
      </c>
      <c r="D21" s="17" t="n">
        <v>7.67</v>
      </c>
      <c r="E21" s="8" t="s">
        <v>177</v>
      </c>
      <c r="F21" s="8" t="s">
        <v>123</v>
      </c>
      <c r="G21" s="8"/>
      <c r="H21" s="8" t="s">
        <v>182</v>
      </c>
    </row>
    <row r="22" customFormat="false" ht="52.2" hidden="false" customHeight="false" outlineLevel="0" collapsed="false">
      <c r="A22" s="8" t="n">
        <v>14</v>
      </c>
      <c r="B22" s="8" t="s">
        <v>183</v>
      </c>
      <c r="C22" s="8" t="s">
        <v>184</v>
      </c>
      <c r="D22" s="17" t="n">
        <v>1.9</v>
      </c>
      <c r="E22" s="8" t="s">
        <v>177</v>
      </c>
      <c r="F22" s="8" t="s">
        <v>123</v>
      </c>
      <c r="G22" s="8" t="s">
        <v>185</v>
      </c>
      <c r="H22" s="8" t="s">
        <v>186</v>
      </c>
    </row>
    <row r="23" customFormat="false" ht="15" hidden="false" customHeight="false" outlineLevel="0" collapsed="false">
      <c r="A23" s="8" t="n">
        <v>15</v>
      </c>
      <c r="B23" s="8" t="s">
        <v>187</v>
      </c>
      <c r="C23" s="8" t="s">
        <v>188</v>
      </c>
      <c r="D23" s="17" t="n">
        <v>0.43</v>
      </c>
      <c r="E23" s="8" t="s">
        <v>177</v>
      </c>
      <c r="F23" s="8" t="s">
        <v>123</v>
      </c>
      <c r="G23" s="8"/>
      <c r="H23" s="8" t="s">
        <v>182</v>
      </c>
    </row>
    <row r="24" customFormat="false" ht="15" hidden="false" customHeight="false" outlineLevel="0" collapsed="false">
      <c r="A24" s="11" t="s">
        <v>189</v>
      </c>
      <c r="B24" s="11"/>
      <c r="C24" s="11"/>
      <c r="D24" s="11"/>
      <c r="E24" s="11"/>
      <c r="F24" s="11"/>
      <c r="G24" s="11"/>
      <c r="H24" s="11"/>
    </row>
    <row r="25" customFormat="false" ht="39.55" hidden="false" customHeight="false" outlineLevel="0" collapsed="false">
      <c r="A25" s="8" t="n">
        <v>16</v>
      </c>
      <c r="B25" s="8" t="s">
        <v>190</v>
      </c>
      <c r="C25" s="8" t="s">
        <v>191</v>
      </c>
      <c r="D25" s="12" t="n">
        <v>0.2</v>
      </c>
      <c r="E25" s="8" t="s">
        <v>192</v>
      </c>
      <c r="F25" s="8" t="s">
        <v>123</v>
      </c>
      <c r="G25" s="8" t="s">
        <v>193</v>
      </c>
      <c r="H25" s="8" t="s">
        <v>194</v>
      </c>
    </row>
    <row r="26" customFormat="false" ht="26.85" hidden="false" customHeight="false" outlineLevel="0" collapsed="false">
      <c r="A26" s="8" t="n">
        <v>17</v>
      </c>
      <c r="B26" s="8" t="s">
        <v>195</v>
      </c>
      <c r="C26" s="8" t="s">
        <v>196</v>
      </c>
      <c r="D26" s="12" t="n">
        <v>0.001</v>
      </c>
      <c r="E26" s="8" t="s">
        <v>192</v>
      </c>
      <c r="F26" s="8" t="s">
        <v>123</v>
      </c>
      <c r="G26" s="8" t="s">
        <v>197</v>
      </c>
      <c r="H26" s="8" t="s">
        <v>198</v>
      </c>
    </row>
    <row r="27" customFormat="false" ht="39.55" hidden="false" customHeight="false" outlineLevel="0" collapsed="false">
      <c r="A27" s="8" t="n">
        <v>18</v>
      </c>
      <c r="B27" s="8" t="s">
        <v>199</v>
      </c>
      <c r="C27" s="8" t="s">
        <v>200</v>
      </c>
      <c r="D27" s="15" t="n">
        <v>6</v>
      </c>
      <c r="E27" s="8" t="s">
        <v>192</v>
      </c>
      <c r="F27" s="8" t="s">
        <v>123</v>
      </c>
      <c r="G27" s="8"/>
      <c r="H27" s="8" t="s">
        <v>201</v>
      </c>
    </row>
    <row r="28" customFormat="false" ht="26.85" hidden="false" customHeight="false" outlineLevel="0" collapsed="false">
      <c r="A28" s="8" t="n">
        <v>19</v>
      </c>
      <c r="B28" s="8" t="s">
        <v>202</v>
      </c>
      <c r="C28" s="8" t="s">
        <v>203</v>
      </c>
      <c r="D28" s="12" t="n">
        <v>0.04</v>
      </c>
      <c r="E28" s="8" t="s">
        <v>192</v>
      </c>
      <c r="F28" s="8" t="s">
        <v>123</v>
      </c>
      <c r="G28" s="8"/>
      <c r="H28" s="8" t="s">
        <v>204</v>
      </c>
    </row>
    <row r="29" customFormat="false" ht="39.55" hidden="false" customHeight="false" outlineLevel="0" collapsed="false">
      <c r="A29" s="8" t="n">
        <v>20</v>
      </c>
      <c r="B29" s="8" t="s">
        <v>205</v>
      </c>
      <c r="C29" s="8" t="s">
        <v>206</v>
      </c>
      <c r="D29" s="15" t="n">
        <v>1</v>
      </c>
      <c r="E29" s="8" t="s">
        <v>192</v>
      </c>
      <c r="F29" s="8" t="s">
        <v>123</v>
      </c>
      <c r="G29" s="8"/>
      <c r="H29" s="8" t="s">
        <v>207</v>
      </c>
    </row>
    <row r="30" customFormat="false" ht="15" hidden="false" customHeight="false" outlineLevel="0" collapsed="false">
      <c r="A30" s="11" t="s">
        <v>208</v>
      </c>
      <c r="B30" s="11"/>
      <c r="C30" s="11"/>
      <c r="D30" s="11"/>
      <c r="E30" s="11"/>
      <c r="F30" s="11"/>
      <c r="G30" s="11"/>
      <c r="H30" s="11"/>
    </row>
    <row r="31" customFormat="false" ht="39.55" hidden="false" customHeight="false" outlineLevel="0" collapsed="false">
      <c r="A31" s="8" t="n">
        <v>21</v>
      </c>
      <c r="B31" s="8" t="s">
        <v>209</v>
      </c>
      <c r="C31" s="8" t="s">
        <v>210</v>
      </c>
      <c r="D31" s="15" t="n">
        <v>18</v>
      </c>
      <c r="E31" s="8" t="s">
        <v>211</v>
      </c>
      <c r="F31" s="8" t="s">
        <v>123</v>
      </c>
      <c r="G31" s="8" t="s">
        <v>212</v>
      </c>
      <c r="H31" s="8" t="s">
        <v>213</v>
      </c>
    </row>
    <row r="32" customFormat="false" ht="26.85" hidden="false" customHeight="false" outlineLevel="0" collapsed="false">
      <c r="A32" s="8" t="n">
        <v>22</v>
      </c>
      <c r="B32" s="8" t="s">
        <v>214</v>
      </c>
      <c r="C32" s="8" t="s">
        <v>215</v>
      </c>
      <c r="D32" s="15" t="n">
        <v>-1.7</v>
      </c>
      <c r="E32" s="8" t="s">
        <v>211</v>
      </c>
      <c r="F32" s="8" t="s">
        <v>123</v>
      </c>
      <c r="G32" s="8" t="s">
        <v>216</v>
      </c>
      <c r="H32" s="8" t="s">
        <v>217</v>
      </c>
    </row>
    <row r="33" customFormat="false" ht="26.85" hidden="false" customHeight="false" outlineLevel="0" collapsed="false">
      <c r="A33" s="8" t="n">
        <v>23</v>
      </c>
      <c r="B33" s="8" t="s">
        <v>218</v>
      </c>
      <c r="C33" s="8" t="s">
        <v>219</v>
      </c>
      <c r="D33" s="16" t="n">
        <v>202</v>
      </c>
      <c r="E33" s="8" t="s">
        <v>220</v>
      </c>
      <c r="F33" s="8" t="s">
        <v>123</v>
      </c>
      <c r="G33" s="8"/>
      <c r="H33" s="8" t="s">
        <v>217</v>
      </c>
    </row>
    <row r="34" customFormat="false" ht="15" hidden="false" customHeight="false" outlineLevel="0" collapsed="false">
      <c r="A34" s="8" t="n">
        <v>24</v>
      </c>
      <c r="B34" s="8" t="s">
        <v>221</v>
      </c>
      <c r="C34" s="8" t="s">
        <v>222</v>
      </c>
      <c r="D34" s="16" t="n">
        <v>8</v>
      </c>
      <c r="E34" s="8" t="s">
        <v>223</v>
      </c>
      <c r="F34" s="8" t="s">
        <v>123</v>
      </c>
      <c r="G34" s="8"/>
      <c r="H34" s="8" t="s">
        <v>224</v>
      </c>
    </row>
    <row r="35" customFormat="false" ht="26.85" hidden="false" customHeight="false" outlineLevel="0" collapsed="false">
      <c r="A35" s="8" t="n">
        <v>25</v>
      </c>
      <c r="B35" s="8" t="s">
        <v>225</v>
      </c>
      <c r="C35" s="8" t="s">
        <v>226</v>
      </c>
      <c r="D35" s="16" t="n">
        <v>16588.8</v>
      </c>
      <c r="E35" s="8" t="s">
        <v>227</v>
      </c>
      <c r="F35" s="8" t="s">
        <v>228</v>
      </c>
      <c r="G35" s="8" t="s">
        <v>229</v>
      </c>
      <c r="H35" s="8" t="s">
        <v>230</v>
      </c>
    </row>
  </sheetData>
  <mergeCells count="7">
    <mergeCell ref="A2:H2"/>
    <mergeCell ref="A5:H5"/>
    <mergeCell ref="A9:H9"/>
    <mergeCell ref="A12:H12"/>
    <mergeCell ref="A19:H19"/>
    <mergeCell ref="A24:H24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231</v>
      </c>
    </row>
    <row r="2" customFormat="false" ht="60" hidden="false" customHeight="true" outlineLevel="0" collapsed="false">
      <c r="A2" s="10" t="s">
        <v>232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233</v>
      </c>
      <c r="B5" s="11"/>
      <c r="C5" s="11"/>
      <c r="D5" s="11"/>
      <c r="E5" s="11"/>
      <c r="F5" s="11"/>
      <c r="G5" s="11"/>
      <c r="H5" s="11"/>
    </row>
    <row r="6" customFormat="false" ht="39.55" hidden="false" customHeight="false" outlineLevel="0" collapsed="false">
      <c r="A6" s="8" t="n">
        <v>1</v>
      </c>
      <c r="B6" s="8" t="s">
        <v>234</v>
      </c>
      <c r="C6" s="8" t="s">
        <v>235</v>
      </c>
      <c r="D6" s="18" t="n">
        <f aca="false">9.05+0.00031*'1 Исходные'!$D$14*'1 Исходные'!$D$16/'1 Исходные'!$D$15^2</f>
        <v>9.7765625</v>
      </c>
      <c r="E6" s="8" t="s">
        <v>236</v>
      </c>
      <c r="F6" s="8" t="s">
        <v>237</v>
      </c>
      <c r="G6" s="8" t="s">
        <v>238</v>
      </c>
      <c r="H6" s="8" t="s">
        <v>239</v>
      </c>
    </row>
    <row r="7" customFormat="false" ht="15" hidden="false" customHeight="false" outlineLevel="0" collapsed="false">
      <c r="A7" s="8" t="n">
        <v>2</v>
      </c>
      <c r="B7" s="8" t="s">
        <v>233</v>
      </c>
      <c r="C7" s="8" t="s">
        <v>240</v>
      </c>
      <c r="D7" s="18" t="n">
        <f aca="false">'2 Выделения'!$D$6*'1 Исходные'!$D$14/1000</f>
        <v>2.1997265625</v>
      </c>
      <c r="E7" s="8" t="s">
        <v>241</v>
      </c>
      <c r="F7" s="8" t="s">
        <v>242</v>
      </c>
      <c r="G7" s="8" t="s">
        <v>243</v>
      </c>
      <c r="H7" s="8" t="s">
        <v>244</v>
      </c>
    </row>
    <row r="8" customFormat="false" ht="15" hidden="false" customHeight="false" outlineLevel="0" collapsed="false">
      <c r="A8" s="11" t="s">
        <v>245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8" t="n">
        <v>3</v>
      </c>
      <c r="B9" s="8" t="s">
        <v>246</v>
      </c>
      <c r="C9" s="8" t="s">
        <v>247</v>
      </c>
      <c r="D9" s="18" t="n">
        <f aca="false">'1 Исходные'!$D$20*'2 Выделения'!$D$7</f>
        <v>21.997265625</v>
      </c>
      <c r="E9" s="8" t="s">
        <v>248</v>
      </c>
      <c r="F9" s="8" t="s">
        <v>249</v>
      </c>
      <c r="G9" s="8" t="s">
        <v>250</v>
      </c>
      <c r="H9" s="8" t="s">
        <v>251</v>
      </c>
    </row>
    <row r="10" customFormat="false" ht="15" hidden="false" customHeight="false" outlineLevel="0" collapsed="false">
      <c r="A10" s="8" t="n">
        <v>4</v>
      </c>
      <c r="B10" s="8" t="s">
        <v>252</v>
      </c>
      <c r="C10" s="8" t="s">
        <v>253</v>
      </c>
      <c r="D10" s="18" t="n">
        <f aca="false">'1 Исходные'!$D$22*'2 Выделения'!$D$7</f>
        <v>4.17948046875</v>
      </c>
      <c r="E10" s="8" t="s">
        <v>248</v>
      </c>
      <c r="F10" s="8" t="s">
        <v>249</v>
      </c>
      <c r="G10" s="8"/>
      <c r="H10" s="8" t="s">
        <v>244</v>
      </c>
    </row>
    <row r="11" customFormat="false" ht="15" hidden="false" customHeight="false" outlineLevel="0" collapsed="false">
      <c r="A11" s="8" t="n">
        <v>5</v>
      </c>
      <c r="B11" s="8" t="s">
        <v>254</v>
      </c>
      <c r="C11" s="8" t="s">
        <v>255</v>
      </c>
      <c r="D11" s="18" t="n">
        <f aca="false">'1 Исходные'!$D$21*'2 Выделения'!$D$7</f>
        <v>16.871902734375</v>
      </c>
      <c r="E11" s="8" t="s">
        <v>248</v>
      </c>
      <c r="F11" s="8" t="s">
        <v>249</v>
      </c>
      <c r="G11" s="8"/>
      <c r="H11" s="8" t="s">
        <v>244</v>
      </c>
    </row>
    <row r="12" customFormat="false" ht="15" hidden="false" customHeight="false" outlineLevel="0" collapsed="false">
      <c r="A12" s="8" t="n">
        <v>6</v>
      </c>
      <c r="B12" s="8" t="s">
        <v>256</v>
      </c>
      <c r="C12" s="8" t="s">
        <v>257</v>
      </c>
      <c r="D12" s="18" t="n">
        <f aca="false">'1 Исходные'!$D$23*'2 Выделения'!$D$7</f>
        <v>0.945882421875</v>
      </c>
      <c r="E12" s="8" t="s">
        <v>248</v>
      </c>
      <c r="F12" s="8" t="s">
        <v>249</v>
      </c>
      <c r="G12" s="8"/>
      <c r="H12" s="8" t="s">
        <v>244</v>
      </c>
    </row>
    <row r="13" customFormat="false" ht="39.55" hidden="false" customHeight="false" outlineLevel="0" collapsed="false">
      <c r="A13" s="8" t="n">
        <v>7</v>
      </c>
      <c r="B13" s="8" t="s">
        <v>258</v>
      </c>
      <c r="C13" s="8"/>
      <c r="D13" s="18" t="n">
        <f aca="false">'1 Исходные'!$D$21+'1 Исходные'!$D$22+'1 Исходные'!$D$23-'1 Исходные'!$D$20</f>
        <v>0</v>
      </c>
      <c r="E13" s="8" t="s">
        <v>177</v>
      </c>
      <c r="F13" s="8" t="s">
        <v>259</v>
      </c>
      <c r="G13" s="8" t="s">
        <v>260</v>
      </c>
      <c r="H13" s="8" t="s">
        <v>261</v>
      </c>
    </row>
    <row r="14" customFormat="false" ht="15" hidden="false" customHeight="false" outlineLevel="0" collapsed="false">
      <c r="A14" s="11" t="s">
        <v>262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8" t="n">
        <v>8</v>
      </c>
      <c r="B15" s="8" t="s">
        <v>263</v>
      </c>
      <c r="C15" s="8" t="s">
        <v>264</v>
      </c>
      <c r="D15" s="18" t="n">
        <f aca="false">'2 Выделения'!$D$10*'1 Исходные'!$D$13*1000</f>
        <v>12538.44140625</v>
      </c>
      <c r="E15" s="8" t="s">
        <v>265</v>
      </c>
      <c r="F15" s="8" t="s">
        <v>266</v>
      </c>
      <c r="G15" s="8"/>
      <c r="H15" s="8"/>
    </row>
    <row r="16" customFormat="false" ht="15" hidden="false" customHeight="false" outlineLevel="0" collapsed="false">
      <c r="A16" s="8" t="n">
        <v>9</v>
      </c>
      <c r="B16" s="8" t="s">
        <v>267</v>
      </c>
      <c r="C16" s="8" t="s">
        <v>268</v>
      </c>
      <c r="D16" s="18" t="n">
        <f aca="false">'1 Исходные'!$D$18*'2 Выделения'!$D$15</f>
        <v>10030.753125</v>
      </c>
      <c r="E16" s="8" t="s">
        <v>265</v>
      </c>
      <c r="F16" s="8" t="s">
        <v>268</v>
      </c>
      <c r="G16" s="8" t="s">
        <v>269</v>
      </c>
      <c r="H16" s="8" t="s">
        <v>270</v>
      </c>
    </row>
    <row r="17" customFormat="false" ht="26.85" hidden="false" customHeight="false" outlineLevel="0" collapsed="false">
      <c r="A17" s="8" t="n">
        <v>10</v>
      </c>
      <c r="B17" s="8" t="s">
        <v>271</v>
      </c>
      <c r="C17" s="8" t="s">
        <v>272</v>
      </c>
      <c r="D17" s="18" t="n">
        <f aca="false">(1-'1 Исходные'!$D$18)*'2 Выделения'!$D$15</f>
        <v>2507.68828125</v>
      </c>
      <c r="E17" s="8" t="s">
        <v>265</v>
      </c>
      <c r="F17" s="8" t="s">
        <v>273</v>
      </c>
      <c r="G17" s="8" t="s">
        <v>274</v>
      </c>
      <c r="H17" s="8" t="s">
        <v>275</v>
      </c>
    </row>
    <row r="18" customFormat="false" ht="15" hidden="false" customHeight="false" outlineLevel="0" collapsed="false">
      <c r="A18" s="8" t="n">
        <v>11</v>
      </c>
      <c r="B18" s="8" t="s">
        <v>276</v>
      </c>
      <c r="C18" s="8" t="s">
        <v>277</v>
      </c>
      <c r="D18" s="18" t="n">
        <f aca="false">(1-'1 Исходные'!$D$18)*'2 Выделения'!$D$11*'1 Исходные'!$D$13*1000</f>
        <v>10123.141640625</v>
      </c>
      <c r="E18" s="8" t="s">
        <v>265</v>
      </c>
      <c r="F18" s="8" t="s">
        <v>278</v>
      </c>
      <c r="G18" s="8"/>
      <c r="H18" s="8"/>
    </row>
    <row r="19" customFormat="false" ht="15" hidden="false" customHeight="false" outlineLevel="0" collapsed="false">
      <c r="A19" s="8" t="n">
        <v>12</v>
      </c>
      <c r="B19" s="8" t="s">
        <v>279</v>
      </c>
      <c r="C19" s="8" t="s">
        <v>280</v>
      </c>
      <c r="D19" s="18" t="n">
        <f aca="false">(1-'1 Исходные'!$D$18)*'2 Выделения'!$D$12*'1 Исходные'!$D$13*1000</f>
        <v>567.529453125</v>
      </c>
      <c r="E19" s="8" t="s">
        <v>265</v>
      </c>
      <c r="F19" s="8" t="s">
        <v>281</v>
      </c>
      <c r="G19" s="8"/>
      <c r="H19" s="8"/>
    </row>
    <row r="20" customFormat="false" ht="30" hidden="false" customHeight="true" outlineLevel="0" collapsed="false">
      <c r="B20" s="10" t="s">
        <v>282</v>
      </c>
      <c r="C20" s="10"/>
      <c r="D20" s="10"/>
      <c r="E20" s="10"/>
      <c r="F20" s="10"/>
      <c r="G20" s="10"/>
      <c r="H20" s="10"/>
    </row>
  </sheetData>
  <mergeCells count="5">
    <mergeCell ref="A2:H2"/>
    <mergeCell ref="A5:H5"/>
    <mergeCell ref="A8:H8"/>
    <mergeCell ref="A14:H14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283</v>
      </c>
    </row>
    <row r="2" customFormat="false" ht="60" hidden="false" customHeight="true" outlineLevel="0" collapsed="false">
      <c r="A2" s="10" t="s">
        <v>284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285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286</v>
      </c>
      <c r="C6" s="8" t="s">
        <v>287</v>
      </c>
      <c r="D6" s="18" t="n">
        <f aca="false">'1 Исходные'!$D$17*'1 Исходные'!$D$13</f>
        <v>4500</v>
      </c>
      <c r="E6" s="8" t="s">
        <v>167</v>
      </c>
      <c r="F6" s="8" t="s">
        <v>288</v>
      </c>
      <c r="G6" s="8" t="s">
        <v>289</v>
      </c>
      <c r="H6" s="8" t="s">
        <v>290</v>
      </c>
    </row>
    <row r="7" customFormat="false" ht="26.85" hidden="false" customHeight="false" outlineLevel="0" collapsed="false">
      <c r="A7" s="8" t="n">
        <v>2</v>
      </c>
      <c r="B7" s="8" t="s">
        <v>291</v>
      </c>
      <c r="C7" s="8" t="s">
        <v>292</v>
      </c>
      <c r="D7" s="19" t="n">
        <f aca="false">'1 Исходные'!$D$25</f>
        <v>0.2</v>
      </c>
      <c r="E7" s="8" t="s">
        <v>192</v>
      </c>
      <c r="F7" s="8" t="s">
        <v>293</v>
      </c>
      <c r="G7" s="8"/>
      <c r="H7" s="8" t="s">
        <v>294</v>
      </c>
    </row>
    <row r="8" customFormat="false" ht="26.85" hidden="false" customHeight="false" outlineLevel="0" collapsed="false">
      <c r="A8" s="8" t="n">
        <v>3</v>
      </c>
      <c r="B8" s="8" t="s">
        <v>295</v>
      </c>
      <c r="C8" s="8" t="s">
        <v>296</v>
      </c>
      <c r="D8" s="19" t="n">
        <f aca="false">'1 Исходные'!$D$26</f>
        <v>0.001</v>
      </c>
      <c r="E8" s="8" t="s">
        <v>192</v>
      </c>
      <c r="F8" s="8"/>
      <c r="G8" s="8"/>
      <c r="H8" s="8"/>
    </row>
    <row r="9" customFormat="false" ht="52.2" hidden="false" customHeight="false" outlineLevel="0" collapsed="false">
      <c r="A9" s="8" t="n">
        <v>4</v>
      </c>
      <c r="B9" s="8" t="s">
        <v>297</v>
      </c>
      <c r="C9" s="8" t="s">
        <v>298</v>
      </c>
      <c r="D9" s="19" t="n">
        <f aca="false">'3 СП 60'!$D$7</f>
        <v>0.2</v>
      </c>
      <c r="E9" s="8" t="s">
        <v>192</v>
      </c>
      <c r="F9" s="8" t="s">
        <v>299</v>
      </c>
      <c r="G9" s="8" t="s">
        <v>300</v>
      </c>
      <c r="H9" s="8" t="s">
        <v>301</v>
      </c>
    </row>
    <row r="10" customFormat="false" ht="26.85" hidden="false" customHeight="false" outlineLevel="0" collapsed="false">
      <c r="A10" s="8" t="n">
        <v>5</v>
      </c>
      <c r="B10" s="8" t="s">
        <v>302</v>
      </c>
      <c r="C10" s="8" t="s">
        <v>303</v>
      </c>
      <c r="D10" s="18" t="n">
        <f aca="false">'3 СП 60'!$D$6+('2 Выделения'!$D$17-'3 СП 60'!$D$6*('3 СП 60'!$D$7-'3 СП 60'!$D$8))/('3 СП 60'!$D$9-'3 СП 60'!$D$8)</f>
        <v>12601.4486494975</v>
      </c>
      <c r="E10" s="8" t="s">
        <v>167</v>
      </c>
      <c r="F10" s="8" t="s">
        <v>304</v>
      </c>
      <c r="G10" s="8" t="s">
        <v>305</v>
      </c>
      <c r="H10" s="8" t="s">
        <v>290</v>
      </c>
    </row>
    <row r="11" customFormat="false" ht="26.85" hidden="false" customHeight="false" outlineLevel="0" collapsed="false">
      <c r="A11" s="8" t="n">
        <v>6</v>
      </c>
      <c r="B11" s="8" t="s">
        <v>306</v>
      </c>
      <c r="C11" s="8" t="s">
        <v>307</v>
      </c>
      <c r="D11" s="18" t="n">
        <f aca="false">MAX(0,'3 СП 60'!$D$10-'3 СП 60'!$D$6)</f>
        <v>8101.44864949748</v>
      </c>
      <c r="E11" s="8" t="s">
        <v>167</v>
      </c>
      <c r="F11" s="8" t="s">
        <v>308</v>
      </c>
      <c r="G11" s="8" t="s">
        <v>309</v>
      </c>
      <c r="H11" s="8"/>
    </row>
    <row r="12" customFormat="false" ht="26.85" hidden="false" customHeight="false" outlineLevel="0" collapsed="false">
      <c r="A12" s="8" t="n">
        <v>7</v>
      </c>
      <c r="B12" s="8" t="s">
        <v>310</v>
      </c>
      <c r="C12" s="8" t="s">
        <v>303</v>
      </c>
      <c r="D12" s="18" t="n">
        <f aca="false">'2 Выделения'!$D$17/('3 СП 60'!$D$7-'3 СП 60'!$D$8)</f>
        <v>12601.4486494975</v>
      </c>
      <c r="E12" s="8" t="s">
        <v>167</v>
      </c>
      <c r="F12" s="8" t="s">
        <v>311</v>
      </c>
      <c r="G12" s="8" t="s">
        <v>312</v>
      </c>
      <c r="H12" s="8" t="s">
        <v>313</v>
      </c>
    </row>
    <row r="13" customFormat="false" ht="26.85" hidden="false" customHeight="false" outlineLevel="0" collapsed="false">
      <c r="A13" s="8" t="n">
        <v>8</v>
      </c>
      <c r="B13" s="8" t="s">
        <v>314</v>
      </c>
      <c r="C13" s="8" t="s">
        <v>315</v>
      </c>
      <c r="D13" s="18" t="n">
        <f aca="false">'3 СП 60'!$D$8+'2 Выделения'!$D$17/'3 СП 60'!$D$10</f>
        <v>0.2</v>
      </c>
      <c r="E13" s="8" t="s">
        <v>192</v>
      </c>
      <c r="F13" s="8" t="s">
        <v>316</v>
      </c>
      <c r="G13" s="8" t="s">
        <v>317</v>
      </c>
      <c r="H13" s="8" t="s">
        <v>318</v>
      </c>
    </row>
    <row r="14" customFormat="false" ht="52.2" hidden="false" customHeight="false" outlineLevel="0" collapsed="false">
      <c r="A14" s="8" t="n">
        <v>9</v>
      </c>
      <c r="B14" s="8" t="s">
        <v>319</v>
      </c>
      <c r="C14" s="8" t="s">
        <v>320</v>
      </c>
      <c r="D14" s="18" t="n">
        <f aca="false">'2 Выделения'!$D$17/('3 СП 60'!$D$7-'3 СП 60'!$D$8)</f>
        <v>12601.4486494975</v>
      </c>
      <c r="E14" s="8" t="s">
        <v>167</v>
      </c>
      <c r="F14" s="8" t="s">
        <v>321</v>
      </c>
      <c r="G14" s="8" t="s">
        <v>322</v>
      </c>
      <c r="H14" s="8" t="s">
        <v>323</v>
      </c>
    </row>
    <row r="15" customFormat="false" ht="15" hidden="false" customHeight="false" outlineLevel="0" collapsed="false">
      <c r="A15" s="8" t="n">
        <v>10</v>
      </c>
      <c r="B15" s="8" t="s">
        <v>324</v>
      </c>
      <c r="C15" s="8" t="s">
        <v>325</v>
      </c>
      <c r="D15" s="18" t="n">
        <f aca="false">'3 СП 60'!$D$14-'3 СП 60'!$D$11</f>
        <v>4500</v>
      </c>
      <c r="E15" s="8" t="s">
        <v>167</v>
      </c>
      <c r="F15" s="8" t="s">
        <v>326</v>
      </c>
      <c r="G15" s="8" t="s">
        <v>327</v>
      </c>
      <c r="H15" s="8"/>
    </row>
    <row r="16" customFormat="false" ht="15" hidden="false" customHeight="false" outlineLevel="0" collapsed="false">
      <c r="A16" s="11" t="s">
        <v>328</v>
      </c>
      <c r="B16" s="11"/>
      <c r="C16" s="11"/>
      <c r="D16" s="11"/>
      <c r="E16" s="11"/>
      <c r="F16" s="11"/>
      <c r="G16" s="11"/>
      <c r="H16" s="11"/>
    </row>
    <row r="17" customFormat="false" ht="26.85" hidden="false" customHeight="false" outlineLevel="0" collapsed="false">
      <c r="A17" s="8" t="n">
        <v>11</v>
      </c>
      <c r="B17" s="8" t="s">
        <v>329</v>
      </c>
      <c r="C17" s="8" t="s">
        <v>330</v>
      </c>
      <c r="D17" s="18" t="n">
        <f aca="false">'2 Выделения'!$D$18/('1 Исходные'!$D$27-'1 Исходные'!$D$28)</f>
        <v>1698.51369809144</v>
      </c>
      <c r="E17" s="8" t="s">
        <v>167</v>
      </c>
      <c r="F17" s="8" t="s">
        <v>331</v>
      </c>
      <c r="G17" s="8" t="s">
        <v>332</v>
      </c>
      <c r="H17" s="8" t="s">
        <v>333</v>
      </c>
    </row>
    <row r="18" customFormat="false" ht="15" hidden="false" customHeight="false" outlineLevel="0" collapsed="false">
      <c r="A18" s="8" t="n">
        <v>12</v>
      </c>
      <c r="B18" s="8" t="s">
        <v>334</v>
      </c>
      <c r="C18" s="8" t="s">
        <v>335</v>
      </c>
      <c r="D18" s="18" t="n">
        <f aca="false">'2 Выделения'!$D$19/'1 Исходные'!$D$29</f>
        <v>567.529453125</v>
      </c>
      <c r="E18" s="8" t="s">
        <v>167</v>
      </c>
      <c r="F18" s="8" t="s">
        <v>336</v>
      </c>
      <c r="G18" s="8"/>
      <c r="H18" s="8" t="s">
        <v>333</v>
      </c>
    </row>
    <row r="19" customFormat="false" ht="39.55" hidden="false" customHeight="false" outlineLevel="0" collapsed="false">
      <c r="A19" s="8" t="n">
        <v>13</v>
      </c>
      <c r="B19" s="8" t="s">
        <v>337</v>
      </c>
      <c r="C19" s="8" t="s">
        <v>338</v>
      </c>
      <c r="D19" s="18" t="n">
        <f aca="false">MAX('3 СП 60'!$D$10,'3 СП 60'!$D$17,'3 СП 60'!$D$18)</f>
        <v>12601.4486494975</v>
      </c>
      <c r="E19" s="8" t="s">
        <v>167</v>
      </c>
      <c r="F19" s="8" t="s">
        <v>339</v>
      </c>
      <c r="G19" s="8" t="s">
        <v>340</v>
      </c>
      <c r="H19" s="8" t="s">
        <v>290</v>
      </c>
    </row>
    <row r="20" customFormat="false" ht="15" hidden="false" customHeight="false" outlineLevel="0" collapsed="false">
      <c r="A20" s="11" t="s">
        <v>341</v>
      </c>
      <c r="B20" s="11"/>
      <c r="C20" s="11"/>
      <c r="D20" s="11"/>
      <c r="E20" s="11"/>
      <c r="F20" s="11"/>
      <c r="G20" s="11"/>
      <c r="H20" s="11"/>
    </row>
    <row r="21" customFormat="false" ht="39.55" hidden="false" customHeight="false" outlineLevel="0" collapsed="false">
      <c r="A21" s="8" t="n">
        <v>14</v>
      </c>
      <c r="B21" s="8" t="s">
        <v>342</v>
      </c>
      <c r="C21" s="8" t="s">
        <v>343</v>
      </c>
      <c r="D21" s="17" t="n">
        <v>1</v>
      </c>
      <c r="E21" s="8" t="s">
        <v>123</v>
      </c>
      <c r="F21" s="8"/>
      <c r="G21" s="8" t="s">
        <v>344</v>
      </c>
      <c r="H21" s="8" t="s">
        <v>345</v>
      </c>
    </row>
    <row r="22" customFormat="false" ht="26.85" hidden="false" customHeight="false" outlineLevel="0" collapsed="false">
      <c r="A22" s="8" t="n">
        <v>15</v>
      </c>
      <c r="B22" s="8" t="s">
        <v>346</v>
      </c>
      <c r="C22" s="8" t="s">
        <v>272</v>
      </c>
      <c r="D22" s="18" t="n">
        <f aca="false">(1-'1 Исходные'!$D$18+'1 Исходные'!$D$18*(1-'3 СП 60'!$D$21))*'2 Выделения'!$D$15</f>
        <v>2507.68828125</v>
      </c>
      <c r="E22" s="8" t="s">
        <v>265</v>
      </c>
      <c r="F22" s="8" t="s">
        <v>347</v>
      </c>
      <c r="G22" s="8" t="s">
        <v>348</v>
      </c>
      <c r="H22" s="8" t="s">
        <v>318</v>
      </c>
    </row>
    <row r="23" customFormat="false" ht="39.55" hidden="false" customHeight="false" outlineLevel="0" collapsed="false">
      <c r="A23" s="8" t="n">
        <v>16</v>
      </c>
      <c r="B23" s="8" t="s">
        <v>349</v>
      </c>
      <c r="C23" s="8" t="s">
        <v>350</v>
      </c>
      <c r="D23" s="18" t="n">
        <f aca="false">'3 СП 60'!$D$22/('3 СП 60'!$D$7-'3 СП 60'!$D$8)</f>
        <v>12601.4486494975</v>
      </c>
      <c r="E23" s="8" t="s">
        <v>167</v>
      </c>
      <c r="F23" s="8" t="s">
        <v>351</v>
      </c>
      <c r="G23" s="8" t="s">
        <v>352</v>
      </c>
      <c r="H23" s="8" t="s">
        <v>333</v>
      </c>
    </row>
    <row r="24" customFormat="false" ht="26.85" hidden="false" customHeight="false" outlineLevel="0" collapsed="false">
      <c r="A24" s="8" t="n">
        <v>17</v>
      </c>
      <c r="B24" s="8" t="s">
        <v>353</v>
      </c>
      <c r="C24" s="8"/>
      <c r="D24" s="18" t="n">
        <f aca="false">'3 СП 60'!$D$23/'3 СП 60'!$D$10</f>
        <v>1</v>
      </c>
      <c r="E24" s="8" t="s">
        <v>123</v>
      </c>
      <c r="F24" s="8"/>
      <c r="G24" s="8" t="s">
        <v>354</v>
      </c>
      <c r="H24" s="8"/>
    </row>
    <row r="25" customFormat="false" ht="45" hidden="false" customHeight="true" outlineLevel="0" collapsed="false">
      <c r="B25" s="10" t="s">
        <v>355</v>
      </c>
      <c r="C25" s="10"/>
      <c r="D25" s="10"/>
      <c r="E25" s="10"/>
      <c r="F25" s="10"/>
      <c r="G25" s="10"/>
      <c r="H25" s="10"/>
    </row>
    <row r="26" customFormat="false" ht="15" hidden="false" customHeight="false" outlineLevel="0" collapsed="false">
      <c r="A26" s="11" t="s">
        <v>356</v>
      </c>
      <c r="B26" s="11"/>
      <c r="C26" s="11"/>
      <c r="D26" s="11"/>
      <c r="E26" s="11"/>
      <c r="F26" s="11"/>
      <c r="G26" s="11"/>
      <c r="H26" s="11"/>
    </row>
    <row r="27" customFormat="false" ht="75" hidden="false" customHeight="true" outlineLevel="0" collapsed="false">
      <c r="B27" s="10" t="s">
        <v>357</v>
      </c>
      <c r="C27" s="10"/>
      <c r="D27" s="10"/>
      <c r="E27" s="10"/>
      <c r="F27" s="10"/>
      <c r="G27" s="10"/>
      <c r="H27" s="10"/>
    </row>
  </sheetData>
  <mergeCells count="7">
    <mergeCell ref="A2:H2"/>
    <mergeCell ref="A5:H5"/>
    <mergeCell ref="A16:H16"/>
    <mergeCell ref="A20:H20"/>
    <mergeCell ref="B25:H25"/>
    <mergeCell ref="A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17" min="3" style="0" width="8"/>
  </cols>
  <sheetData>
    <row r="1" customFormat="false" ht="16.15" hidden="false" customHeight="false" outlineLevel="0" collapsed="false">
      <c r="A1" s="5" t="s">
        <v>358</v>
      </c>
    </row>
    <row r="2" customFormat="false" ht="45" hidden="false" customHeight="true" outlineLevel="0" collapsed="false">
      <c r="A2" s="10" t="s">
        <v>359</v>
      </c>
      <c r="B2" s="10"/>
      <c r="C2" s="10"/>
      <c r="D2" s="10"/>
      <c r="E2" s="10"/>
      <c r="F2" s="10"/>
    </row>
    <row r="4" customFormat="false" ht="26.85" hidden="false" customHeight="false" outlineLevel="0" collapsed="false">
      <c r="A4" s="7" t="s">
        <v>360</v>
      </c>
      <c r="B4" s="7" t="s">
        <v>361</v>
      </c>
      <c r="C4" s="7" t="s">
        <v>362</v>
      </c>
      <c r="D4" s="7" t="s">
        <v>363</v>
      </c>
    </row>
    <row r="5" customFormat="false" ht="15" hidden="false" customHeight="false" outlineLevel="0" collapsed="false">
      <c r="A5" s="20" t="n">
        <v>0</v>
      </c>
      <c r="B5" s="20" t="n">
        <v>0.2</v>
      </c>
      <c r="C5" s="21" t="n">
        <f aca="false">LN(B5)</f>
        <v>-1.6094379124341</v>
      </c>
      <c r="D5" s="22" t="s">
        <v>364</v>
      </c>
    </row>
    <row r="6" customFormat="false" ht="15" hidden="false" customHeight="false" outlineLevel="0" collapsed="false">
      <c r="A6" s="20" t="n">
        <v>10</v>
      </c>
      <c r="B6" s="20" t="n">
        <v>0.52</v>
      </c>
      <c r="C6" s="21" t="n">
        <f aca="false">LN(B6)</f>
        <v>-0.653926467406664</v>
      </c>
      <c r="D6" s="22" t="s">
        <v>365</v>
      </c>
    </row>
    <row r="7" customFormat="false" ht="15" hidden="false" customHeight="false" outlineLevel="0" collapsed="false">
      <c r="A7" s="20" t="n">
        <v>20</v>
      </c>
      <c r="B7" s="20" t="n">
        <v>1.54</v>
      </c>
      <c r="C7" s="21" t="n">
        <f aca="false">LN(B7)</f>
        <v>0.431782416425538</v>
      </c>
      <c r="D7" s="22" t="s">
        <v>365</v>
      </c>
    </row>
    <row r="8" customFormat="false" ht="15" hidden="false" customHeight="false" outlineLevel="0" collapsed="false">
      <c r="A8" s="20" t="n">
        <v>30</v>
      </c>
      <c r="B8" s="20" t="n">
        <v>4.5</v>
      </c>
      <c r="C8" s="21" t="n">
        <f aca="false">LN(B8)</f>
        <v>1.50407739677627</v>
      </c>
      <c r="D8" s="22" t="s">
        <v>365</v>
      </c>
    </row>
    <row r="9" customFormat="false" ht="15" hidden="false" customHeight="false" outlineLevel="0" collapsed="false">
      <c r="A9" s="20" t="n">
        <v>40</v>
      </c>
      <c r="B9" s="20" t="n">
        <v>11</v>
      </c>
      <c r="C9" s="21" t="n">
        <f aca="false">LN(B9)</f>
        <v>2.39789527279837</v>
      </c>
      <c r="D9" s="22" t="s">
        <v>365</v>
      </c>
    </row>
    <row r="10" customFormat="false" ht="15" hidden="false" customHeight="false" outlineLevel="0" collapsed="false">
      <c r="A10" s="20" t="n">
        <v>50</v>
      </c>
      <c r="B10" s="20" t="n">
        <v>29</v>
      </c>
      <c r="C10" s="21" t="n">
        <f aca="false">LN(B10)</f>
        <v>3.36729582998647</v>
      </c>
      <c r="D10" s="22" t="s">
        <v>365</v>
      </c>
    </row>
    <row r="11" customFormat="false" ht="15" hidden="false" customHeight="false" outlineLevel="0" collapsed="false">
      <c r="A11" s="20" t="n">
        <v>60</v>
      </c>
      <c r="B11" s="20" t="n">
        <v>105</v>
      </c>
      <c r="C11" s="21" t="n">
        <f aca="false">LN(B11)</f>
        <v>4.65396035015752</v>
      </c>
      <c r="D11" s="22" t="s">
        <v>365</v>
      </c>
    </row>
    <row r="12" customFormat="false" ht="15" hidden="false" customHeight="false" outlineLevel="0" collapsed="false">
      <c r="A12" s="20" t="n">
        <v>70</v>
      </c>
      <c r="B12" s="20" t="n">
        <v>625</v>
      </c>
      <c r="C12" s="21" t="n">
        <f aca="false">LN(B12)</f>
        <v>6.4377516497364</v>
      </c>
      <c r="D12" s="22" t="s">
        <v>365</v>
      </c>
    </row>
    <row r="13" customFormat="false" ht="15" hidden="false" customHeight="false" outlineLevel="0" collapsed="false">
      <c r="A13" s="20" t="n">
        <v>90</v>
      </c>
      <c r="B13" s="20" t="n">
        <v>10000</v>
      </c>
      <c r="C13" s="21" t="n">
        <f aca="false">LN(B13)</f>
        <v>9.21034037197618</v>
      </c>
      <c r="D13" s="22" t="s">
        <v>366</v>
      </c>
    </row>
    <row r="16" customFormat="false" ht="15" hidden="false" customHeight="false" outlineLevel="0" collapsed="false">
      <c r="A16" s="23" t="s">
        <v>367</v>
      </c>
    </row>
    <row r="17" customFormat="false" ht="15" hidden="false" customHeight="false" outlineLevel="0" collapsed="false">
      <c r="A17" s="7" t="s">
        <v>368</v>
      </c>
      <c r="B17" s="7" t="s">
        <v>369</v>
      </c>
    </row>
    <row r="18" customFormat="false" ht="15" hidden="false" customHeight="false" outlineLevel="0" collapsed="false">
      <c r="A18" s="20" t="n">
        <v>0</v>
      </c>
      <c r="B18" s="20" t="n">
        <v>0</v>
      </c>
    </row>
    <row r="19" customFormat="false" ht="15" hidden="false" customHeight="false" outlineLevel="0" collapsed="false">
      <c r="A19" s="20" t="n">
        <v>20</v>
      </c>
      <c r="B19" s="20" t="n">
        <v>0.31</v>
      </c>
    </row>
    <row r="20" customFormat="false" ht="15" hidden="false" customHeight="false" outlineLevel="0" collapsed="false">
      <c r="A20" s="20" t="n">
        <v>30</v>
      </c>
      <c r="B20" s="20" t="n">
        <v>0.45</v>
      </c>
    </row>
    <row r="21" customFormat="false" ht="15" hidden="false" customHeight="false" outlineLevel="0" collapsed="false">
      <c r="A21" s="20" t="n">
        <v>45</v>
      </c>
      <c r="B21" s="20" t="n">
        <v>0.6</v>
      </c>
    </row>
    <row r="22" customFormat="false" ht="15" hidden="false" customHeight="false" outlineLevel="0" collapsed="false">
      <c r="A22" s="20" t="n">
        <v>60</v>
      </c>
      <c r="B22" s="20" t="n">
        <v>0.78</v>
      </c>
    </row>
    <row r="23" customFormat="false" ht="15" hidden="false" customHeight="false" outlineLevel="0" collapsed="false">
      <c r="A23" s="20" t="n">
        <v>75</v>
      </c>
      <c r="B23" s="20" t="n">
        <v>0.9</v>
      </c>
    </row>
    <row r="24" customFormat="false" ht="15" hidden="false" customHeight="false" outlineLevel="0" collapsed="false">
      <c r="A24" s="20" t="n">
        <v>90</v>
      </c>
      <c r="B24" s="20" t="n">
        <v>1</v>
      </c>
    </row>
    <row r="25" customFormat="false" ht="15" hidden="false" customHeight="false" outlineLevel="0" collapsed="false">
      <c r="A25" s="20" t="n">
        <v>110</v>
      </c>
      <c r="B25" s="20" t="n">
        <v>1.13</v>
      </c>
    </row>
    <row r="26" customFormat="false" ht="15" hidden="false" customHeight="false" outlineLevel="0" collapsed="false">
      <c r="A26" s="20" t="n">
        <v>130</v>
      </c>
      <c r="B26" s="20" t="n">
        <v>1.2</v>
      </c>
    </row>
    <row r="27" customFormat="false" ht="15" hidden="false" customHeight="false" outlineLevel="0" collapsed="false">
      <c r="A27" s="20" t="n">
        <v>150</v>
      </c>
      <c r="B27" s="20" t="n">
        <v>1.28</v>
      </c>
    </row>
    <row r="28" customFormat="false" ht="15" hidden="false" customHeight="false" outlineLevel="0" collapsed="false">
      <c r="A28" s="20" t="n">
        <v>180</v>
      </c>
      <c r="B28" s="20" t="n">
        <v>1.4</v>
      </c>
    </row>
    <row r="31" customFormat="false" ht="15" hidden="false" customHeight="false" outlineLevel="0" collapsed="false">
      <c r="A31" s="23" t="s">
        <v>370</v>
      </c>
    </row>
    <row r="32" customFormat="false" ht="15" hidden="false" customHeight="false" outlineLevel="0" collapsed="false">
      <c r="A32" s="23" t="s">
        <v>371</v>
      </c>
      <c r="B32" s="23" t="s">
        <v>372</v>
      </c>
      <c r="C32" s="20" t="n">
        <v>3</v>
      </c>
      <c r="D32" s="20" t="n">
        <v>4</v>
      </c>
      <c r="E32" s="20" t="n">
        <v>6</v>
      </c>
      <c r="F32" s="20" t="n">
        <v>8</v>
      </c>
      <c r="G32" s="20" t="n">
        <v>10</v>
      </c>
      <c r="H32" s="20" t="n">
        <v>12</v>
      </c>
      <c r="I32" s="20" t="n">
        <v>14</v>
      </c>
      <c r="J32" s="20" t="n">
        <v>16</v>
      </c>
      <c r="K32" s="20" t="n">
        <v>20</v>
      </c>
      <c r="L32" s="20" t="n">
        <v>30</v>
      </c>
      <c r="M32" s="20" t="n">
        <v>45</v>
      </c>
      <c r="N32" s="20" t="n">
        <v>60</v>
      </c>
      <c r="O32" s="20" t="n">
        <v>90</v>
      </c>
      <c r="P32" s="20" t="n">
        <v>120</v>
      </c>
      <c r="Q32" s="20" t="n">
        <v>180</v>
      </c>
    </row>
    <row r="33" customFormat="false" ht="15" hidden="false" customHeight="false" outlineLevel="0" collapsed="false">
      <c r="A33" s="20" t="n">
        <v>50000</v>
      </c>
      <c r="B33" s="21" t="n">
        <f aca="false">LN(A33)</f>
        <v>10.8197782844103</v>
      </c>
      <c r="C33" s="20" t="n">
        <v>0.148</v>
      </c>
      <c r="D33" s="20" t="n">
        <v>0.135</v>
      </c>
      <c r="E33" s="20" t="n">
        <v>0.121</v>
      </c>
      <c r="F33" s="20" t="n">
        <v>0.112</v>
      </c>
      <c r="G33" s="20" t="n">
        <v>0.107</v>
      </c>
      <c r="H33" s="20" t="n">
        <v>0.109</v>
      </c>
      <c r="I33" s="20" t="n">
        <v>0.12</v>
      </c>
      <c r="J33" s="20" t="n">
        <v>0.141</v>
      </c>
      <c r="K33" s="20" t="n">
        <v>0.191</v>
      </c>
      <c r="L33" s="20" t="n">
        <v>0.315</v>
      </c>
      <c r="M33" s="20" t="n">
        <v>0.331</v>
      </c>
      <c r="N33" s="20" t="n">
        <v>0.326</v>
      </c>
      <c r="O33" s="20" t="n">
        <v>0.315</v>
      </c>
      <c r="P33" s="20" t="n">
        <v>0.308</v>
      </c>
      <c r="Q33" s="20" t="n">
        <v>0.298</v>
      </c>
    </row>
    <row r="34" customFormat="false" ht="15" hidden="false" customHeight="false" outlineLevel="0" collapsed="false">
      <c r="A34" s="20" t="n">
        <v>100000</v>
      </c>
      <c r="B34" s="21" t="n">
        <f aca="false">LN(A34)</f>
        <v>11.5129254649702</v>
      </c>
      <c r="C34" s="20" t="n">
        <v>0.12</v>
      </c>
      <c r="D34" s="20" t="n">
        <v>0.106</v>
      </c>
      <c r="E34" s="20" t="n">
        <v>0.09</v>
      </c>
      <c r="F34" s="20" t="n">
        <v>0.083</v>
      </c>
      <c r="G34" s="20" t="n">
        <v>0.08</v>
      </c>
      <c r="H34" s="20" t="n">
        <v>0.088</v>
      </c>
      <c r="I34" s="20" t="n">
        <v>0.102</v>
      </c>
      <c r="J34" s="20" t="n">
        <v>0.122</v>
      </c>
      <c r="K34" s="20" t="n">
        <v>0.196</v>
      </c>
      <c r="L34" s="20" t="n">
        <v>0.298</v>
      </c>
      <c r="M34" s="20" t="n">
        <v>0.297</v>
      </c>
      <c r="N34" s="20" t="n">
        <v>0.286</v>
      </c>
      <c r="O34" s="20" t="n">
        <v>0.283</v>
      </c>
      <c r="P34" s="20" t="n">
        <v>0.279</v>
      </c>
      <c r="Q34" s="20" t="n">
        <v>0.276</v>
      </c>
    </row>
    <row r="35" customFormat="false" ht="15" hidden="false" customHeight="false" outlineLevel="0" collapsed="false">
      <c r="A35" s="20" t="n">
        <v>200000</v>
      </c>
      <c r="B35" s="21" t="n">
        <f aca="false">LN(A35)</f>
        <v>12.2060726455302</v>
      </c>
      <c r="C35" s="20" t="n">
        <v>0.093</v>
      </c>
      <c r="D35" s="20" t="n">
        <v>0.082</v>
      </c>
      <c r="E35" s="20" t="n">
        <v>0.07</v>
      </c>
      <c r="F35" s="20" t="n">
        <v>0.068</v>
      </c>
      <c r="G35" s="20" t="n">
        <v>0.062</v>
      </c>
      <c r="H35" s="20" t="n">
        <v>0.062</v>
      </c>
      <c r="I35" s="20" t="n">
        <v>0.063</v>
      </c>
      <c r="J35" s="20" t="n">
        <v>0.073</v>
      </c>
      <c r="K35" s="20" t="n">
        <v>0.12</v>
      </c>
      <c r="L35" s="20" t="n">
        <v>0.229</v>
      </c>
      <c r="M35" s="20" t="n">
        <v>0.279</v>
      </c>
      <c r="N35" s="20" t="n">
        <v>0.268</v>
      </c>
      <c r="O35" s="20" t="n">
        <v>0.268</v>
      </c>
      <c r="P35" s="20" t="n">
        <v>0.265</v>
      </c>
      <c r="Q35" s="20" t="n">
        <v>0.263</v>
      </c>
    </row>
    <row r="36" customFormat="false" ht="15" hidden="false" customHeight="false" outlineLevel="0" collapsed="false">
      <c r="A36" s="20" t="n">
        <v>400000</v>
      </c>
      <c r="B36" s="21" t="n">
        <f aca="false">LN(A36)</f>
        <v>12.8992198260901</v>
      </c>
      <c r="C36" s="20" t="n">
        <v>0.079</v>
      </c>
      <c r="D36" s="20" t="n">
        <v>0.068</v>
      </c>
      <c r="E36" s="20" t="n">
        <v>0.056</v>
      </c>
      <c r="F36" s="20" t="n">
        <v>0.048</v>
      </c>
      <c r="G36" s="20" t="n">
        <v>0.048</v>
      </c>
      <c r="H36" s="20" t="n">
        <v>0.048</v>
      </c>
      <c r="I36" s="20" t="n">
        <v>0.051</v>
      </c>
      <c r="J36" s="20" t="n">
        <v>0.051</v>
      </c>
      <c r="K36" s="20" t="n">
        <v>0.068</v>
      </c>
      <c r="L36" s="20" t="n">
        <v>0.12</v>
      </c>
      <c r="M36" s="20" t="n">
        <v>0.271</v>
      </c>
      <c r="N36" s="20" t="n">
        <v>0.272</v>
      </c>
      <c r="O36" s="20" t="n">
        <v>0.272</v>
      </c>
      <c r="P36" s="20" t="n">
        <v>0.268</v>
      </c>
      <c r="Q36" s="20" t="n">
        <v>0.268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60"/>
    <col collapsed="false" customWidth="true" hidden="false" outlineLevel="0" max="22" min="22" style="0" width="34"/>
    <col collapsed="false" customWidth="true" hidden="false" outlineLevel="0" max="24" min="23" style="0" width="12"/>
  </cols>
  <sheetData>
    <row r="1" customFormat="false" ht="16.15" hidden="false" customHeight="false" outlineLevel="0" collapsed="false">
      <c r="A1" s="5" t="s">
        <v>373</v>
      </c>
    </row>
    <row r="2" customFormat="false" ht="75" hidden="false" customHeight="true" outlineLevel="0" collapsed="false">
      <c r="A2" s="10" t="s">
        <v>374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52.2" hidden="false" customHeight="false" outlineLevel="0" collapsed="false">
      <c r="A4" s="7" t="s">
        <v>34</v>
      </c>
      <c r="B4" s="7" t="s">
        <v>375</v>
      </c>
      <c r="C4" s="7" t="s">
        <v>376</v>
      </c>
      <c r="D4" s="7" t="s">
        <v>377</v>
      </c>
      <c r="E4" s="7" t="s">
        <v>378</v>
      </c>
      <c r="F4" s="7" t="s">
        <v>379</v>
      </c>
      <c r="G4" s="7" t="s">
        <v>380</v>
      </c>
      <c r="H4" s="7" t="s">
        <v>381</v>
      </c>
      <c r="I4" s="7" t="s">
        <v>382</v>
      </c>
      <c r="J4" s="7" t="s">
        <v>383</v>
      </c>
      <c r="K4" s="7" t="s">
        <v>384</v>
      </c>
      <c r="L4" s="7" t="s">
        <v>385</v>
      </c>
      <c r="M4" s="7" t="s">
        <v>386</v>
      </c>
      <c r="N4" s="7" t="s">
        <v>371</v>
      </c>
      <c r="O4" s="7" t="s">
        <v>387</v>
      </c>
      <c r="P4" s="7" t="s">
        <v>361</v>
      </c>
      <c r="Q4" s="7" t="s">
        <v>388</v>
      </c>
      <c r="R4" s="7" t="s">
        <v>389</v>
      </c>
      <c r="S4" s="7" t="s">
        <v>390</v>
      </c>
      <c r="T4" s="7" t="s">
        <v>391</v>
      </c>
      <c r="U4" s="7" t="s">
        <v>392</v>
      </c>
      <c r="V4" s="7" t="s">
        <v>393</v>
      </c>
      <c r="W4" s="7" t="s">
        <v>394</v>
      </c>
      <c r="X4" s="7" t="s">
        <v>395</v>
      </c>
    </row>
    <row r="5" customFormat="false" ht="39.55" hidden="false" customHeight="false" outlineLevel="0" collapsed="false">
      <c r="A5" s="24" t="n">
        <v>1</v>
      </c>
      <c r="B5" s="24" t="s">
        <v>396</v>
      </c>
      <c r="C5" s="24" t="s">
        <v>397</v>
      </c>
      <c r="D5" s="24" t="s">
        <v>398</v>
      </c>
      <c r="E5" s="25" t="n">
        <v>0.2</v>
      </c>
      <c r="F5" s="26"/>
      <c r="G5" s="27" t="n">
        <v>1499.2931</v>
      </c>
      <c r="H5" s="26"/>
      <c r="I5" s="26"/>
      <c r="J5" s="28" t="n">
        <v>0.2</v>
      </c>
      <c r="K5" s="26"/>
      <c r="L5" s="29" t="n">
        <f aca="false">E5</f>
        <v>0.2</v>
      </c>
      <c r="M5" s="30" t="n">
        <f aca="false">G5/3600/(PI()*L5^2/4)</f>
        <v>13.2566615560317</v>
      </c>
      <c r="N5" s="31" t="n">
        <f aca="false">M5*L5/'1 Исходные'!$D$7</f>
        <v>176051.282284618</v>
      </c>
      <c r="O5" s="26"/>
      <c r="P5" s="29" t="n">
        <f aca="false">J5</f>
        <v>0.2</v>
      </c>
      <c r="Q5" s="30" t="n">
        <f aca="false">'1 Исходные'!$D$6*M5^2/2</f>
        <v>105.443445366702</v>
      </c>
      <c r="R5" s="30" t="n">
        <f aca="false">P5*Q5</f>
        <v>21.0886890733404</v>
      </c>
      <c r="S5" s="32" t="n">
        <v>21.088689</v>
      </c>
      <c r="T5" s="33" t="n">
        <f aca="false">R5-S5</f>
        <v>7.3340391537613E-008</v>
      </c>
      <c r="U5" s="8" t="s">
        <v>399</v>
      </c>
      <c r="V5" s="8" t="s">
        <v>400</v>
      </c>
      <c r="W5" s="34"/>
      <c r="X5" s="34"/>
    </row>
    <row r="6" customFormat="false" ht="39.55" hidden="false" customHeight="false" outlineLevel="0" collapsed="false">
      <c r="A6" s="24" t="n">
        <v>2</v>
      </c>
      <c r="B6" s="24" t="s">
        <v>396</v>
      </c>
      <c r="C6" s="24" t="s">
        <v>401</v>
      </c>
      <c r="D6" s="24" t="s">
        <v>402</v>
      </c>
      <c r="E6" s="25" t="n">
        <v>0.2</v>
      </c>
      <c r="F6" s="35" t="n">
        <v>6</v>
      </c>
      <c r="G6" s="36" t="n">
        <f aca="false">$G$5</f>
        <v>1499.2931</v>
      </c>
      <c r="H6" s="26"/>
      <c r="I6" s="26"/>
      <c r="J6" s="26"/>
      <c r="K6" s="26"/>
      <c r="L6" s="29" t="n">
        <f aca="false">E6</f>
        <v>0.2</v>
      </c>
      <c r="M6" s="30" t="n">
        <f aca="false">G6/3600/(PI()*L6^2/4)</f>
        <v>13.2566615560317</v>
      </c>
      <c r="N6" s="31" t="n">
        <f aca="false">M6*L6/'1 Исходные'!$D$7</f>
        <v>176051.282284618</v>
      </c>
      <c r="O6" s="33" t="n">
        <f aca="false">IF(N6&lt;=2000,64/N6,IF(N6&gt;=4000,0.11*('1 Исходные'!$D$10/E6+68/N6)^0.25,(1-(N6-2000)/2000)*64/2000+(N6-2000)/2000*0.11*('1 Исходные'!$D$10/E6+68/4000)^0.25))</f>
        <v>0.0189793738709785</v>
      </c>
      <c r="P6" s="29" t="n">
        <f aca="false">O6*F6/E6</f>
        <v>0.569381216129356</v>
      </c>
      <c r="Q6" s="30" t="n">
        <f aca="false">'1 Исходные'!$D$6*M6^2/2</f>
        <v>105.443445366702</v>
      </c>
      <c r="R6" s="30" t="n">
        <f aca="false">P6*Q6</f>
        <v>60.037517155762</v>
      </c>
      <c r="S6" s="32" t="n">
        <v>60.037518</v>
      </c>
      <c r="T6" s="33" t="n">
        <f aca="false">R6-S6</f>
        <v>-8.44237987962515E-007</v>
      </c>
      <c r="U6" s="8" t="s">
        <v>403</v>
      </c>
      <c r="V6" s="8" t="s">
        <v>404</v>
      </c>
      <c r="W6" s="34"/>
      <c r="X6" s="34"/>
    </row>
    <row r="7" customFormat="false" ht="90.25" hidden="false" customHeight="false" outlineLevel="0" collapsed="false">
      <c r="A7" s="24" t="n">
        <v>3</v>
      </c>
      <c r="B7" s="24" t="s">
        <v>396</v>
      </c>
      <c r="C7" s="24" t="s">
        <v>405</v>
      </c>
      <c r="D7" s="24" t="s">
        <v>406</v>
      </c>
      <c r="E7" s="25" t="n">
        <v>0.2</v>
      </c>
      <c r="F7" s="26"/>
      <c r="G7" s="36" t="n">
        <f aca="false">$G$5</f>
        <v>1499.2931</v>
      </c>
      <c r="H7" s="26"/>
      <c r="I7" s="26"/>
      <c r="J7" s="37" t="n">
        <v>90</v>
      </c>
      <c r="K7" s="35" t="n">
        <v>1.5</v>
      </c>
      <c r="L7" s="29" t="n">
        <f aca="false">E7</f>
        <v>0.2</v>
      </c>
      <c r="M7" s="30" t="n">
        <f aca="false">G7/3600/(PI()*L7^2/4)</f>
        <v>13.2566615560317</v>
      </c>
      <c r="N7" s="31" t="n">
        <f aca="false">M7*L7/'1 Исходные'!$D$7</f>
        <v>176051.282284618</v>
      </c>
      <c r="O7" s="33" t="n">
        <f aca="false">IF(N7&lt;=2000,64/N7,IF(N7&gt;=4000,0.11*('1 Исходные'!$D$10/L7+68/N7)^0.25,(1-(N7-2000)/2000)*64/2000+(N7-2000)/2000*0.11*('1 Исходные'!$D$10/L7+68/4000)^0.25))</f>
        <v>0.0189793738709785</v>
      </c>
      <c r="P7" s="29" t="n">
        <f aca="false">X7*W7*IF(J7&gt;=180,1.4,INDEX('4 Таблицы'!$B$18:$B$28,MATCH(J7,'4 Таблицы'!$A$18:$A$28,1))+(J7-INDEX('4 Таблицы'!$A$18:$A$28,MATCH(J7,'4 Таблицы'!$A$18:$A$28,1)))*(INDEX('4 Таблицы'!$B$18:$B$28,MATCH(J7,'4 Таблицы'!$A$18:$A$28,1)+1)-INDEX('4 Таблицы'!$B$18:$B$28,MATCH(J7,'4 Таблицы'!$A$18:$A$28,1)))/(INDEX('4 Таблицы'!$A$18:$A$28,MATCH(J7,'4 Таблицы'!$A$18:$A$28,1)+1)-INDEX('4 Таблицы'!$A$18:$A$28,MATCH(J7,'4 Таблицы'!$A$18:$A$28,1))))*IF(K7&lt;=1,0.21/K7^2.5,0.21/K7^0.5)</f>
        <v>0.239417143411103</v>
      </c>
      <c r="Q7" s="30" t="n">
        <f aca="false">'1 Исходные'!$D$6*M7^2/2</f>
        <v>105.443445366702</v>
      </c>
      <c r="R7" s="30" t="n">
        <f aca="false">P7*Q7</f>
        <v>25.2449684811205</v>
      </c>
      <c r="S7" s="32" t="n">
        <v>25.244969</v>
      </c>
      <c r="T7" s="33" t="n">
        <f aca="false">R7-S7</f>
        <v>-5.18879510025272E-007</v>
      </c>
      <c r="U7" s="8" t="s">
        <v>407</v>
      </c>
      <c r="V7" s="8" t="s">
        <v>408</v>
      </c>
      <c r="W7" s="38" t="n">
        <f aca="false">IF(K7&gt;0.7,1.3-0.29*LN(MAX(N7,10000)*0.00001),IF(K7&gt;0.55,5.45/MAX(N7,10000)^0.131,1+4400/MAX(N7,10000)))</f>
        <v>1.13597450846467</v>
      </c>
      <c r="X7" s="38" t="n">
        <f aca="false">IF(N7&lt;=32000,1,IF(N7&lt;50000,(1+MIN(1,MAX(0,LN(N7/32000)/LN(50000/32000)))*((O7*(1.8*LOG10(MAX(N7,4000))-1.64)^2)-1)),IF(N7&lt;=160000,(O7*(1.8*LOG10(MAX(N7,4000))-1.64)^2),IF(N7&lt;250000,((O7*(1.8*LOG10(MAX(N7,4000))-1.64)^2)+MIN(1,MAX(0,LN(N7/160000)/LN(250000/160000)))*((1+MIN('1 Исходные'!$D$10/L7,0.001)*1000)-(O7*(1.8*LOG10(MAX(N7,4000))-1.64)^2))),(1+MIN('1 Исходные'!$D$10/L7,0.001)*1000)))))</f>
        <v>1.22917294832394</v>
      </c>
    </row>
    <row r="8" customFormat="false" ht="90.25" hidden="false" customHeight="false" outlineLevel="0" collapsed="false">
      <c r="A8" s="24" t="n">
        <v>4</v>
      </c>
      <c r="B8" s="24" t="s">
        <v>396</v>
      </c>
      <c r="C8" s="24" t="s">
        <v>409</v>
      </c>
      <c r="D8" s="24" t="s">
        <v>406</v>
      </c>
      <c r="E8" s="25" t="n">
        <v>0.2</v>
      </c>
      <c r="F8" s="26"/>
      <c r="G8" s="36" t="n">
        <f aca="false">$G$5</f>
        <v>1499.2931</v>
      </c>
      <c r="H8" s="26"/>
      <c r="I8" s="26"/>
      <c r="J8" s="37" t="n">
        <v>45</v>
      </c>
      <c r="K8" s="35" t="n">
        <v>1.5</v>
      </c>
      <c r="L8" s="29" t="n">
        <f aca="false">E8</f>
        <v>0.2</v>
      </c>
      <c r="M8" s="30" t="n">
        <f aca="false">G8/3600/(PI()*L8^2/4)</f>
        <v>13.2566615560317</v>
      </c>
      <c r="N8" s="31" t="n">
        <f aca="false">M8*L8/'1 Исходные'!$D$7</f>
        <v>176051.282284618</v>
      </c>
      <c r="O8" s="33" t="n">
        <f aca="false">IF(N8&lt;=2000,64/N8,IF(N8&gt;=4000,0.11*('1 Исходные'!$D$10/L8+68/N8)^0.25,(1-(N8-2000)/2000)*64/2000+(N8-2000)/2000*0.11*('1 Исходные'!$D$10/L8+68/4000)^0.25))</f>
        <v>0.0189793738709785</v>
      </c>
      <c r="P8" s="29" t="n">
        <f aca="false">X8*W8*IF(J8&gt;=180,1.4,INDEX('4 Таблицы'!$B$18:$B$28,MATCH(J8,'4 Таблицы'!$A$18:$A$28,1))+(J8-INDEX('4 Таблицы'!$A$18:$A$28,MATCH(J8,'4 Таблицы'!$A$18:$A$28,1)))*(INDEX('4 Таблицы'!$B$18:$B$28,MATCH(J8,'4 Таблицы'!$A$18:$A$28,1)+1)-INDEX('4 Таблицы'!$B$18:$B$28,MATCH(J8,'4 Таблицы'!$A$18:$A$28,1)))/(INDEX('4 Таблицы'!$A$18:$A$28,MATCH(J8,'4 Таблицы'!$A$18:$A$28,1)+1)-INDEX('4 Таблицы'!$A$18:$A$28,MATCH(J8,'4 Таблицы'!$A$18:$A$28,1))))*IF(K8&lt;=1,0.21/K8^2.5,0.21/K8^0.5)</f>
        <v>0.143650286046662</v>
      </c>
      <c r="Q8" s="30" t="n">
        <f aca="false">'1 Исходные'!$D$6*M8^2/2</f>
        <v>105.443445366702</v>
      </c>
      <c r="R8" s="30" t="n">
        <f aca="false">P8*Q8</f>
        <v>15.1469810886723</v>
      </c>
      <c r="S8" s="32" t="n">
        <v>15.146981</v>
      </c>
      <c r="T8" s="33" t="n">
        <f aca="false">R8-S8</f>
        <v>8.86722943960194E-008</v>
      </c>
      <c r="U8" s="8" t="s">
        <v>410</v>
      </c>
      <c r="V8" s="8" t="s">
        <v>408</v>
      </c>
      <c r="W8" s="38" t="n">
        <f aca="false">IF(K8&gt;0.7,1.3-0.29*LN(MAX(N8,10000)*0.00001),IF(K8&gt;0.55,5.45/MAX(N8,10000)^0.131,1+4400/MAX(N8,10000)))</f>
        <v>1.13597450846467</v>
      </c>
      <c r="X8" s="38" t="n">
        <f aca="false">IF(N8&lt;=32000,1,IF(N8&lt;50000,(1+MIN(1,MAX(0,LN(N8/32000)/LN(50000/32000)))*((O8*(1.8*LOG10(MAX(N8,4000))-1.64)^2)-1)),IF(N8&lt;=160000,(O8*(1.8*LOG10(MAX(N8,4000))-1.64)^2),IF(N8&lt;250000,((O8*(1.8*LOG10(MAX(N8,4000))-1.64)^2)+MIN(1,MAX(0,LN(N8/160000)/LN(250000/160000)))*((1+MIN('1 Исходные'!$D$10/L8,0.001)*1000)-(O8*(1.8*LOG10(MAX(N8,4000))-1.64)^2))),(1+MIN('1 Исходные'!$D$10/L8,0.001)*1000)))))</f>
        <v>1.22917294832394</v>
      </c>
    </row>
    <row r="9" customFormat="false" ht="26.85" hidden="false" customHeight="false" outlineLevel="0" collapsed="false">
      <c r="A9" s="24" t="n">
        <v>5</v>
      </c>
      <c r="B9" s="24" t="s">
        <v>396</v>
      </c>
      <c r="C9" s="24" t="s">
        <v>411</v>
      </c>
      <c r="D9" s="24" t="s">
        <v>412</v>
      </c>
      <c r="E9" s="25" t="n">
        <v>0.2</v>
      </c>
      <c r="F9" s="26"/>
      <c r="G9" s="36" t="n">
        <f aca="false">$G$5</f>
        <v>1499.2931</v>
      </c>
      <c r="H9" s="26"/>
      <c r="I9" s="26"/>
      <c r="J9" s="32" t="n">
        <v>0.121757</v>
      </c>
      <c r="K9" s="26"/>
      <c r="L9" s="29" t="n">
        <f aca="false">E9</f>
        <v>0.2</v>
      </c>
      <c r="M9" s="30" t="n">
        <f aca="false">G9/3600/(PI()*L9^2/4)</f>
        <v>13.2566615560317</v>
      </c>
      <c r="N9" s="31" t="n">
        <f aca="false">M9*L9/'1 Исходные'!$D$7</f>
        <v>176051.282284618</v>
      </c>
      <c r="O9" s="26"/>
      <c r="P9" s="29" t="n">
        <f aca="false">IF(J9&gt;=90,10000,EXP(LN(INDEX('4 Таблицы'!$B$5:$B$13,MATCH(J9,'4 Таблицы'!$A$5:$A$13,1)))+(J9-INDEX('4 Таблицы'!$A$5:$A$13,MATCH(J9,'4 Таблицы'!$A$5:$A$13,1)))/(INDEX('4 Таблицы'!$A$5:$A$13,MATCH(J9,'4 Таблицы'!$A$5:$A$13,1)+1)-INDEX('4 Таблицы'!$A$5:$A$13,MATCH(J9,'4 Таблицы'!$A$5:$A$13,1)))*(LN(INDEX('4 Таблицы'!$B$5:$B$13,MATCH(J9,'4 Таблицы'!$A$5:$A$13,1)+1))-LN(INDEX('4 Таблицы'!$B$5:$B$13,MATCH(J9,'4 Таблицы'!$A$5:$A$13,1))))))</f>
        <v>0.202340391826025</v>
      </c>
      <c r="Q9" s="30" t="n">
        <f aca="false">'1 Исходные'!$D$6*M9^2/2</f>
        <v>105.443445366702</v>
      </c>
      <c r="R9" s="30" t="n">
        <f aca="false">P9*Q9</f>
        <v>21.3354680509846</v>
      </c>
      <c r="S9" s="32" t="n">
        <v>21.335469</v>
      </c>
      <c r="T9" s="33" t="n">
        <f aca="false">R9-S9</f>
        <v>-9.49015433349132E-007</v>
      </c>
      <c r="U9" s="8" t="s">
        <v>413</v>
      </c>
      <c r="V9" s="8" t="s">
        <v>414</v>
      </c>
      <c r="W9" s="34"/>
      <c r="X9" s="34"/>
    </row>
    <row r="10" customFormat="false" ht="102.95" hidden="false" customHeight="false" outlineLevel="0" collapsed="false">
      <c r="A10" s="24" t="n">
        <v>6</v>
      </c>
      <c r="B10" s="24" t="s">
        <v>396</v>
      </c>
      <c r="C10" s="24" t="s">
        <v>415</v>
      </c>
      <c r="D10" s="24" t="s">
        <v>406</v>
      </c>
      <c r="E10" s="25" t="n">
        <v>0.2</v>
      </c>
      <c r="F10" s="26"/>
      <c r="G10" s="36" t="n">
        <f aca="false">$G$5</f>
        <v>1499.2931</v>
      </c>
      <c r="H10" s="26"/>
      <c r="I10" s="26"/>
      <c r="J10" s="37" t="n">
        <v>90</v>
      </c>
      <c r="K10" s="35" t="n">
        <v>1</v>
      </c>
      <c r="L10" s="29" t="n">
        <f aca="false">E10</f>
        <v>0.2</v>
      </c>
      <c r="M10" s="30" t="n">
        <f aca="false">G10/3600/(PI()*L10^2/4)</f>
        <v>13.2566615560317</v>
      </c>
      <c r="N10" s="31" t="n">
        <f aca="false">M10*L10/'1 Исходные'!$D$7</f>
        <v>176051.282284618</v>
      </c>
      <c r="O10" s="33" t="n">
        <f aca="false">IF(N10&lt;=2000,64/N10,IF(N10&gt;=4000,0.11*('1 Исходные'!$D$10/L10+68/N10)^0.25,(1-(N10-2000)/2000)*64/2000+(N10-2000)/2000*0.11*('1 Исходные'!$D$10/L10+68/4000)^0.25))</f>
        <v>0.0189793738709785</v>
      </c>
      <c r="P10" s="29" t="n">
        <f aca="false">X10*W10*IF(J10&gt;=180,1.4,INDEX('4 Таблицы'!$B$18:$B$28,MATCH(J10,'4 Таблицы'!$A$18:$A$28,1))+(J10-INDEX('4 Таблицы'!$A$18:$A$28,MATCH(J10,'4 Таблицы'!$A$18:$A$28,1)))*(INDEX('4 Таблицы'!$B$18:$B$28,MATCH(J10,'4 Таблицы'!$A$18:$A$28,1)+1)-INDEX('4 Таблицы'!$B$18:$B$28,MATCH(J10,'4 Таблицы'!$A$18:$A$28,1)))/(INDEX('4 Таблицы'!$A$18:$A$28,MATCH(J10,'4 Таблицы'!$A$18:$A$28,1)+1)-INDEX('4 Таблицы'!$A$18:$A$28,MATCH(J10,'4 Таблицы'!$A$18:$A$28,1))))*IF(K10&lt;=1,0.21/K10^2.5,0.21/K10^0.5)</f>
        <v>0.293224918515973</v>
      </c>
      <c r="Q10" s="30" t="n">
        <f aca="false">'1 Исходные'!$D$6*M10^2/2</f>
        <v>105.443445366702</v>
      </c>
      <c r="R10" s="30" t="n">
        <f aca="false">P10*Q10</f>
        <v>30.9186456756946</v>
      </c>
      <c r="S10" s="32" t="n">
        <v>30.918646</v>
      </c>
      <c r="T10" s="33" t="n">
        <f aca="false">R10-S10</f>
        <v>-3.24305361232291E-007</v>
      </c>
      <c r="U10" s="8" t="s">
        <v>416</v>
      </c>
      <c r="V10" s="8" t="s">
        <v>408</v>
      </c>
      <c r="W10" s="38" t="n">
        <f aca="false">IF(K10&gt;0.7,1.3-0.29*LN(MAX(N10,10000)*0.00001),IF(K10&gt;0.55,5.45/MAX(N10,10000)^0.131,1+4400/MAX(N10,10000)))</f>
        <v>1.13597450846467</v>
      </c>
      <c r="X10" s="38" t="n">
        <f aca="false">IF(N10&lt;=32000,1,IF(N10&lt;50000,(1+MIN(1,MAX(0,LN(N10/32000)/LN(50000/32000)))*((O10*(1.8*LOG10(MAX(N10,4000))-1.64)^2)-1)),IF(N10&lt;=160000,(O10*(1.8*LOG10(MAX(N10,4000))-1.64)^2),IF(N10&lt;250000,((O10*(1.8*LOG10(MAX(N10,4000))-1.64)^2)+MIN(1,MAX(0,LN(N10/160000)/LN(250000/160000)))*((1+MIN('1 Исходные'!$D$10/L10,0.001)*1000)-(O10*(1.8*LOG10(MAX(N10,4000))-1.64)^2))),(1+MIN('1 Исходные'!$D$10/L10,0.001)*1000)))))</f>
        <v>1.22917294832394</v>
      </c>
    </row>
    <row r="11" customFormat="false" ht="77.6" hidden="false" customHeight="false" outlineLevel="0" collapsed="false">
      <c r="A11" s="24" t="n">
        <v>7</v>
      </c>
      <c r="B11" s="24" t="s">
        <v>396</v>
      </c>
      <c r="C11" s="24" t="s">
        <v>417</v>
      </c>
      <c r="D11" s="24" t="s">
        <v>418</v>
      </c>
      <c r="E11" s="25" t="n">
        <v>0.2</v>
      </c>
      <c r="F11" s="26"/>
      <c r="G11" s="36" t="n">
        <f aca="false">$G$5</f>
        <v>1499.2931</v>
      </c>
      <c r="H11" s="26"/>
      <c r="I11" s="26"/>
      <c r="J11" s="25" t="n">
        <v>0.25</v>
      </c>
      <c r="K11" s="37" t="n">
        <v>15</v>
      </c>
      <c r="L11" s="29" t="n">
        <f aca="false">E11</f>
        <v>0.2</v>
      </c>
      <c r="M11" s="30" t="n">
        <f aca="false">G11/3600/(PI()*L11^2/4)</f>
        <v>13.2566615560317</v>
      </c>
      <c r="N11" s="31" t="n">
        <f aca="false">M11*L11/'1 Исходные'!$D$7</f>
        <v>176051.282284618</v>
      </c>
      <c r="O11" s="33" t="n">
        <f aca="false">IF(N11&lt;=2000,64/N11,IF(N11&gt;=4000,0.11*('1 Исходные'!$D$10/L11+68/N11)^0.25,(1-(N11-2000)/2000)*64/2000+(N11-2000)/2000*0.11*('1 Исходные'!$D$10/L11+68/4000)^0.25))</f>
        <v>0.0189793738709785</v>
      </c>
      <c r="P11" s="33" t="n">
        <f aca="false">MAX(0,W11-(O11/(8*SIN(RADIANS(K11/2)))*(1-1/(2)^2)))*((1-1/((J11/E11)^2))/0.5)^1.92+(O11/(8*SIN(RADIANS(K11/2)))*(1-1/(((J11/E11)^2))^2))</f>
        <v>0.0439747880076298</v>
      </c>
      <c r="Q11" s="30" t="n">
        <f aca="false">'1 Исходные'!$D$6*M11^2/2</f>
        <v>105.443445366702</v>
      </c>
      <c r="R11" s="30" t="n">
        <f aca="false">P11*Q11</f>
        <v>4.63685315679481</v>
      </c>
      <c r="S11" s="32" t="n">
        <v>4.636853</v>
      </c>
      <c r="T11" s="33" t="n">
        <f aca="false">R11-S11</f>
        <v>1.56794807359972E-007</v>
      </c>
      <c r="U11" s="8" t="s">
        <v>419</v>
      </c>
      <c r="V11" s="8" t="s">
        <v>420</v>
      </c>
      <c r="W11" s="38" t="n">
        <f aca="true">(INDEX(OFFSET('4 Таблицы'!$C$33,MIN(MATCH(LN(MIN(MAX(N11,50000),400000)),'4 Таблицы'!$B$33:$B$36,1),3)-1,0,1,15),1,MIN(MATCH(K11,'4 Таблицы'!$C$32:$Q$32,1),14))+(K11-INDEX('4 Таблицы'!$C$32:$Q$32,1,MIN(MATCH(K11,'4 Таблицы'!$C$32:$Q$32,1),14)))*(INDEX(OFFSET('4 Таблицы'!$C$33,MIN(MATCH(LN(MIN(MAX(N11,50000),400000)),'4 Таблицы'!$B$33:$B$36,1),3)-1,0,1,15),1,MIN(MATCH(K11,'4 Таблицы'!$C$32:$Q$32,1),14)+1)-INDEX(OFFSET('4 Таблицы'!$C$33,MIN(MATCH(LN(MIN(MAX(N11,50000),400000)),'4 Таблицы'!$B$33:$B$36,1),3)-1,0,1,15),1,MIN(MATCH(K11,'4 Таблицы'!$C$32:$Q$32,1),14)))/(INDEX('4 Таблицы'!$C$32:$Q$32,1,MIN(MATCH(K11,'4 Таблицы'!$C$32:$Q$32,1),14)+1)-INDEX('4 Таблицы'!$C$32:$Q$32,1,MIN(MATCH(K11,'4 Таблицы'!$C$32:$Q$32,1),14))))+(LN(MIN(MAX(N11,50000),400000))-INDEX('4 Таблицы'!$B$33:$B$36,MIN(MATCH(LN(MIN(MAX(N11,50000),400000)),'4 Таблицы'!$B$33:$B$36,1),3)))/(INDEX('4 Таблицы'!$B$33:$B$36,MIN(MATCH(LN(MIN(MAX(N11,50000),400000)),'4 Таблицы'!$B$33:$B$36,1),3)+1)-INDEX('4 Таблицы'!$B$33:$B$36,MIN(MATCH(LN(MIN(MAX(N11,50000),400000)),'4 Таблицы'!$B$33:$B$36,1),3)))*((INDEX(OFFSET('4 Таблицы'!$C$33,MIN(MATCH(LN(MIN(MAX(N11,50000),400000)),'4 Таблицы'!$B$33:$B$36,1),3),0,1,15),1,MIN(MATCH(K11,'4 Таблицы'!$C$32:$Q$32,1),14))+(K11-INDEX('4 Таблицы'!$C$32:$Q$32,1,MIN(MATCH(K11,'4 Таблицы'!$C$32:$Q$32,1),14)))*(INDEX(OFFSET('4 Таблицы'!$C$33,MIN(MATCH(LN(MIN(MAX(N11,50000),400000)),'4 Таблицы'!$B$33:$B$36,1),3),0,1,15),1,MIN(MATCH(K11,'4 Таблицы'!$C$32:$Q$32,1),14)+1)-INDEX(OFFSET('4 Таблицы'!$C$33,MIN(MATCH(LN(MIN(MAX(N11,50000),400000)),'4 Таблицы'!$B$33:$B$36,1),3),0,1,15),1,MIN(MATCH(K11,'4 Таблицы'!$C$32:$Q$32,1),14)))/(INDEX('4 Таблицы'!$C$32:$Q$32,1,MIN(MATCH(K11,'4 Таблицы'!$C$32:$Q$32,1),14)+1)-INDEX('4 Таблицы'!$C$32:$Q$32,1,MIN(MATCH(K11,'4 Таблицы'!$C$32:$Q$32,1),14))))-(INDEX(OFFSET('4 Таблицы'!$C$33,MIN(MATCH(LN(MIN(MAX(N11,50000),400000)),'4 Таблицы'!$B$33:$B$36,1),3)-1,0,1,15),1,MIN(MATCH(K11,'4 Таблицы'!$C$32:$Q$32,1),14))+(K11-INDEX('4 Таблицы'!$C$32:$Q$32,1,MIN(MATCH(K11,'4 Таблицы'!$C$32:$Q$32,1),14)))*(INDEX(OFFSET('4 Таблицы'!$C$33,MIN(MATCH(LN(MIN(MAX(N11,50000),400000)),'4 Таблицы'!$B$33:$B$36,1),3)-1,0,1,15),1,MIN(MATCH(K11,'4 Таблицы'!$C$32:$Q$32,1),14)+1)-INDEX(OFFSET('4 Таблицы'!$C$33,MIN(MATCH(LN(MIN(MAX(N11,50000),400000)),'4 Таблицы'!$B$33:$B$36,1),3)-1,0,1,15),1,MIN(MATCH(K11,'4 Таблицы'!$C$32:$Q$32,1),14)))/(INDEX('4 Таблицы'!$C$32:$Q$32,1,MIN(MATCH(K11,'4 Таблицы'!$C$32:$Q$32,1),14)+1)-INDEX('4 Таблицы'!$C$32:$Q$32,1,MIN(MATCH(K11,'4 Таблицы'!$C$32:$Q$32,1),14)))))</f>
        <v>0.0760961876497739</v>
      </c>
      <c r="X11" s="34"/>
    </row>
    <row r="12" customFormat="false" ht="39.55" hidden="false" customHeight="false" outlineLevel="0" collapsed="false">
      <c r="A12" s="24" t="n">
        <v>8</v>
      </c>
      <c r="B12" s="24" t="s">
        <v>421</v>
      </c>
      <c r="C12" s="24" t="s">
        <v>421</v>
      </c>
      <c r="D12" s="24" t="s">
        <v>402</v>
      </c>
      <c r="E12" s="25" t="n">
        <v>0.25</v>
      </c>
      <c r="F12" s="35" t="n">
        <v>5</v>
      </c>
      <c r="G12" s="36" t="n">
        <f aca="false">$G$5</f>
        <v>1499.2931</v>
      </c>
      <c r="H12" s="26"/>
      <c r="I12" s="26"/>
      <c r="J12" s="26"/>
      <c r="K12" s="26"/>
      <c r="L12" s="29" t="n">
        <f aca="false">E12</f>
        <v>0.25</v>
      </c>
      <c r="M12" s="30" t="n">
        <f aca="false">G12/3600/(PI()*L12^2/4)</f>
        <v>8.48426339586032</v>
      </c>
      <c r="N12" s="31" t="n">
        <f aca="false">M12*L12/'1 Исходные'!$D$7</f>
        <v>140841.025827694</v>
      </c>
      <c r="O12" s="33" t="n">
        <f aca="false">IF(N12&lt;=2000,64/N12,IF(N12&gt;=4000,0.11*('1 Исходные'!$D$10/E12+68/N12)^0.25,(1-(N12-2000)/2000)*64/2000+(N12-2000)/2000*0.11*('1 Исходные'!$D$10/E12+68/4000)^0.25))</f>
        <v>0.01896094469426</v>
      </c>
      <c r="P12" s="29" t="n">
        <f aca="false">O12*F12/E12</f>
        <v>0.3792188938852</v>
      </c>
      <c r="Q12" s="30" t="n">
        <f aca="false">'1 Исходные'!$D$6*M12^2/2</f>
        <v>43.1896352222011</v>
      </c>
      <c r="R12" s="30" t="n">
        <f aca="false">P12*Q12</f>
        <v>16.3783256962684</v>
      </c>
      <c r="S12" s="32" t="n">
        <v>16.378326</v>
      </c>
      <c r="T12" s="33" t="n">
        <f aca="false">R12-S12</f>
        <v>-3.03731621187353E-007</v>
      </c>
      <c r="U12" s="8" t="s">
        <v>403</v>
      </c>
      <c r="V12" s="8" t="s">
        <v>404</v>
      </c>
      <c r="W12" s="34"/>
      <c r="X12" s="34"/>
    </row>
    <row r="13" customFormat="false" ht="77.6" hidden="false" customHeight="false" outlineLevel="0" collapsed="false">
      <c r="A13" s="24" t="n">
        <v>9</v>
      </c>
      <c r="B13" s="24" t="s">
        <v>421</v>
      </c>
      <c r="C13" s="24" t="s">
        <v>422</v>
      </c>
      <c r="D13" s="24" t="s">
        <v>418</v>
      </c>
      <c r="E13" s="25" t="n">
        <v>0.25</v>
      </c>
      <c r="F13" s="26"/>
      <c r="G13" s="36" t="n">
        <f aca="false">$G$12</f>
        <v>1499.2931</v>
      </c>
      <c r="H13" s="26"/>
      <c r="I13" s="26"/>
      <c r="J13" s="25" t="n">
        <v>0.315</v>
      </c>
      <c r="K13" s="37" t="n">
        <v>15</v>
      </c>
      <c r="L13" s="29" t="n">
        <f aca="false">E13</f>
        <v>0.25</v>
      </c>
      <c r="M13" s="30" t="n">
        <f aca="false">G13/3600/(PI()*L13^2/4)</f>
        <v>8.48426339586032</v>
      </c>
      <c r="N13" s="31" t="n">
        <f aca="false">M13*L13/'1 Исходные'!$D$7</f>
        <v>140841.025827694</v>
      </c>
      <c r="O13" s="33" t="n">
        <f aca="false">IF(N13&lt;=2000,64/N13,IF(N13&gt;=4000,0.11*('1 Исходные'!$D$10/L13+68/N13)^0.25,(1-(N13-2000)/2000)*64/2000+(N13-2000)/2000*0.11*('1 Исходные'!$D$10/L13+68/4000)^0.25))</f>
        <v>0.01896094469426</v>
      </c>
      <c r="P13" s="33" t="n">
        <f aca="false">MAX(0,W13-(O13/(8*SIN(RADIANS(K13/2)))*(1-1/(2)^2)))*((1-1/((J13/E13)^2))/0.5)^1.92+(O13/(8*SIN(RADIANS(K13/2)))*(1-1/(((J13/E13)^2))^2))</f>
        <v>0.0539729521338643</v>
      </c>
      <c r="Q13" s="30" t="n">
        <f aca="false">'1 Исходные'!$D$6*M13^2/2</f>
        <v>43.1896352222011</v>
      </c>
      <c r="R13" s="30" t="n">
        <f aca="false">P13*Q13</f>
        <v>2.33107211452692</v>
      </c>
      <c r="S13" s="32" t="n">
        <v>2.331072</v>
      </c>
      <c r="T13" s="33" t="n">
        <f aca="false">R13-S13</f>
        <v>1.14526920391711E-007</v>
      </c>
      <c r="U13" s="8" t="s">
        <v>419</v>
      </c>
      <c r="V13" s="8" t="s">
        <v>420</v>
      </c>
      <c r="W13" s="38" t="n">
        <f aca="true">(INDEX(OFFSET('4 Таблицы'!$C$33,MIN(MATCH(LN(MIN(MAX(N13,50000),400000)),'4 Таблицы'!$B$33:$B$36,1),3)-1,0,1,15),1,MIN(MATCH(K13,'4 Таблицы'!$C$32:$Q$32,1),14))+(K13-INDEX('4 Таблицы'!$C$32:$Q$32,1,MIN(MATCH(K13,'4 Таблицы'!$C$32:$Q$32,1),14)))*(INDEX(OFFSET('4 Таблицы'!$C$33,MIN(MATCH(LN(MIN(MAX(N13,50000),400000)),'4 Таблицы'!$B$33:$B$36,1),3)-1,0,1,15),1,MIN(MATCH(K13,'4 Таблицы'!$C$32:$Q$32,1),14)+1)-INDEX(OFFSET('4 Таблицы'!$C$33,MIN(MATCH(LN(MIN(MAX(N13,50000),400000)),'4 Таблицы'!$B$33:$B$36,1),3)-1,0,1,15),1,MIN(MATCH(K13,'4 Таблицы'!$C$32:$Q$32,1),14)))/(INDEX('4 Таблицы'!$C$32:$Q$32,1,MIN(MATCH(K13,'4 Таблицы'!$C$32:$Q$32,1),14)+1)-INDEX('4 Таблицы'!$C$32:$Q$32,1,MIN(MATCH(K13,'4 Таблицы'!$C$32:$Q$32,1),14))))+(LN(MIN(MAX(N13,50000),400000))-INDEX('4 Таблицы'!$B$33:$B$36,MIN(MATCH(LN(MIN(MAX(N13,50000),400000)),'4 Таблицы'!$B$33:$B$36,1),3)))/(INDEX('4 Таблицы'!$B$33:$B$36,MIN(MATCH(LN(MIN(MAX(N13,50000),400000)),'4 Таблицы'!$B$33:$B$36,1),3)+1)-INDEX('4 Таблицы'!$B$33:$B$36,MIN(MATCH(LN(MIN(MAX(N13,50000),400000)),'4 Таблицы'!$B$33:$B$36,1),3)))*((INDEX(OFFSET('4 Таблицы'!$C$33,MIN(MATCH(LN(MIN(MAX(N13,50000),400000)),'4 Таблицы'!$B$33:$B$36,1),3),0,1,15),1,MIN(MATCH(K13,'4 Таблицы'!$C$32:$Q$32,1),14))+(K13-INDEX('4 Таблицы'!$C$32:$Q$32,1,MIN(MATCH(K13,'4 Таблицы'!$C$32:$Q$32,1),14)))*(INDEX(OFFSET('4 Таблицы'!$C$33,MIN(MATCH(LN(MIN(MAX(N13,50000),400000)),'4 Таблицы'!$B$33:$B$36,1),3),0,1,15),1,MIN(MATCH(K13,'4 Таблицы'!$C$32:$Q$32,1),14)+1)-INDEX(OFFSET('4 Таблицы'!$C$33,MIN(MATCH(LN(MIN(MAX(N13,50000),400000)),'4 Таблицы'!$B$33:$B$36,1),3),0,1,15),1,MIN(MATCH(K13,'4 Таблицы'!$C$32:$Q$32,1),14)))/(INDEX('4 Таблицы'!$C$32:$Q$32,1,MIN(MATCH(K13,'4 Таблицы'!$C$32:$Q$32,1),14)+1)-INDEX('4 Таблицы'!$C$32:$Q$32,1,MIN(MATCH(K13,'4 Таблицы'!$C$32:$Q$32,1),14))))-(INDEX(OFFSET('4 Таблицы'!$C$33,MIN(MATCH(LN(MIN(MAX(N13,50000),400000)),'4 Таблицы'!$B$33:$B$36,1),3)-1,0,1,15),1,MIN(MATCH(K13,'4 Таблицы'!$C$32:$Q$32,1),14))+(K13-INDEX('4 Таблицы'!$C$32:$Q$32,1,MIN(MATCH(K13,'4 Таблицы'!$C$32:$Q$32,1),14)))*(INDEX(OFFSET('4 Таблицы'!$C$33,MIN(MATCH(LN(MIN(MAX(N13,50000),400000)),'4 Таблицы'!$B$33:$B$36,1),3)-1,0,1,15),1,MIN(MATCH(K13,'4 Таблицы'!$C$32:$Q$32,1),14)+1)-INDEX(OFFSET('4 Таблицы'!$C$33,MIN(MATCH(LN(MIN(MAX(N13,50000),400000)),'4 Таблицы'!$B$33:$B$36,1),3)-1,0,1,15),1,MIN(MATCH(K13,'4 Таблицы'!$C$32:$Q$32,1),14)))/(INDEX('4 Таблицы'!$C$32:$Q$32,1,MIN(MATCH(K13,'4 Таблицы'!$C$32:$Q$32,1),14)+1)-INDEX('4 Таблицы'!$C$32:$Q$32,1,MIN(MATCH(K13,'4 Таблицы'!$C$32:$Q$32,1),14)))))</f>
        <v>0.0902610238248178</v>
      </c>
      <c r="X13" s="34"/>
    </row>
    <row r="14" customFormat="false" ht="39.55" hidden="false" customHeight="false" outlineLevel="0" collapsed="false">
      <c r="A14" s="24" t="n">
        <v>10</v>
      </c>
      <c r="B14" s="24" t="s">
        <v>421</v>
      </c>
      <c r="C14" s="24" t="s">
        <v>423</v>
      </c>
      <c r="D14" s="24" t="s">
        <v>424</v>
      </c>
      <c r="E14" s="25" t="n">
        <v>0.315</v>
      </c>
      <c r="F14" s="26"/>
      <c r="G14" s="36" t="n">
        <f aca="false">$G$12</f>
        <v>1499.2931</v>
      </c>
      <c r="H14" s="36" t="n">
        <f aca="false">G14+I14</f>
        <v>2998.7509</v>
      </c>
      <c r="I14" s="36" t="n">
        <f aca="false">$G$15</f>
        <v>1499.4578</v>
      </c>
      <c r="J14" s="26"/>
      <c r="K14" s="26"/>
      <c r="L14" s="29" t="n">
        <f aca="false">E14</f>
        <v>0.315</v>
      </c>
      <c r="M14" s="30" t="n">
        <f aca="false">H14/3600/(PI()*L14^2/4)</f>
        <v>10.688749561015</v>
      </c>
      <c r="N14" s="31" t="n">
        <f aca="false">M14*L14/'1 Исходные'!$D$7</f>
        <v>223569.462929596</v>
      </c>
      <c r="O14" s="26"/>
      <c r="P14" s="29" t="n">
        <f aca="false">1.55*(I14/H14)-(I14/H14)^2</f>
        <v>0.525015103034584</v>
      </c>
      <c r="Q14" s="30" t="n">
        <f aca="false">'1 Исходные'!$D$6*M14^2/2</f>
        <v>68.5496203068587</v>
      </c>
      <c r="R14" s="30" t="n">
        <f aca="false">P14*Q14</f>
        <v>35.989585968387</v>
      </c>
      <c r="S14" s="32" t="n">
        <v>35.989587</v>
      </c>
      <c r="T14" s="33" t="n">
        <f aca="false">R14-S14</f>
        <v>-1.03161298170562E-006</v>
      </c>
      <c r="U14" s="8" t="s">
        <v>425</v>
      </c>
      <c r="V14" s="8" t="s">
        <v>426</v>
      </c>
      <c r="W14" s="34"/>
      <c r="X14" s="34"/>
    </row>
    <row r="15" customFormat="false" ht="39.55" hidden="false" customHeight="false" outlineLevel="0" collapsed="false">
      <c r="A15" s="24" t="n">
        <v>11</v>
      </c>
      <c r="B15" s="24" t="s">
        <v>427</v>
      </c>
      <c r="C15" s="24" t="s">
        <v>428</v>
      </c>
      <c r="D15" s="24" t="s">
        <v>398</v>
      </c>
      <c r="E15" s="25" t="n">
        <v>0.2</v>
      </c>
      <c r="F15" s="26"/>
      <c r="G15" s="27" t="n">
        <v>1499.4578</v>
      </c>
      <c r="H15" s="26"/>
      <c r="I15" s="26"/>
      <c r="J15" s="28" t="n">
        <v>0.2</v>
      </c>
      <c r="K15" s="26"/>
      <c r="L15" s="29" t="n">
        <f aca="false">E15</f>
        <v>0.2</v>
      </c>
      <c r="M15" s="30" t="n">
        <f aca="false">G15/3600/(PI()*L15^2/4)</f>
        <v>13.258117823761</v>
      </c>
      <c r="N15" s="31" t="n">
        <f aca="false">M15*L15/'1 Исходные'!$D$7</f>
        <v>176070.621829496</v>
      </c>
      <c r="O15" s="26"/>
      <c r="P15" s="29" t="n">
        <f aca="false">J15</f>
        <v>0.2</v>
      </c>
      <c r="Q15" s="30" t="n">
        <f aca="false">'1 Исходные'!$D$6*M15^2/2</f>
        <v>105.466612937238</v>
      </c>
      <c r="R15" s="30" t="n">
        <f aca="false">P15*Q15</f>
        <v>21.0933225874476</v>
      </c>
      <c r="S15" s="32" t="n">
        <v>21.093323</v>
      </c>
      <c r="T15" s="33" t="n">
        <f aca="false">R15-S15</f>
        <v>-4.12552406459099E-007</v>
      </c>
      <c r="U15" s="8" t="s">
        <v>399</v>
      </c>
      <c r="V15" s="8" t="s">
        <v>400</v>
      </c>
      <c r="W15" s="34"/>
      <c r="X15" s="34"/>
    </row>
    <row r="16" customFormat="false" ht="39.55" hidden="false" customHeight="false" outlineLevel="0" collapsed="false">
      <c r="A16" s="24" t="n">
        <v>12</v>
      </c>
      <c r="B16" s="24" t="s">
        <v>427</v>
      </c>
      <c r="C16" s="24" t="s">
        <v>429</v>
      </c>
      <c r="D16" s="24" t="s">
        <v>402</v>
      </c>
      <c r="E16" s="25" t="n">
        <v>0.2</v>
      </c>
      <c r="F16" s="35" t="n">
        <v>6</v>
      </c>
      <c r="G16" s="36" t="n">
        <f aca="false">$G$15</f>
        <v>1499.4578</v>
      </c>
      <c r="H16" s="26"/>
      <c r="I16" s="26"/>
      <c r="J16" s="26"/>
      <c r="K16" s="26"/>
      <c r="L16" s="29" t="n">
        <f aca="false">E16</f>
        <v>0.2</v>
      </c>
      <c r="M16" s="30" t="n">
        <f aca="false">G16/3600/(PI()*L16^2/4)</f>
        <v>13.258117823761</v>
      </c>
      <c r="N16" s="31" t="n">
        <f aca="false">M16*L16/'1 Исходные'!$D$7</f>
        <v>176070.621829496</v>
      </c>
      <c r="O16" s="33" t="n">
        <f aca="false">IF(N16&lt;=2000,64/N16,IF(N16&gt;=4000,0.11*('1 Исходные'!$D$10/E16+68/N16)^0.25,(1-(N16-2000)/2000)*64/2000+(N16-2000)/2000*0.11*('1 Исходные'!$D$10/E16+68/4000)^0.25))</f>
        <v>0.0189791467266098</v>
      </c>
      <c r="P16" s="29" t="n">
        <f aca="false">O16*F16/E16</f>
        <v>0.569374401798295</v>
      </c>
      <c r="Q16" s="30" t="n">
        <f aca="false">'1 Исходные'!$D$6*M16^2/2</f>
        <v>105.466612937238</v>
      </c>
      <c r="R16" s="30" t="n">
        <f aca="false">P16*Q16</f>
        <v>60.0499896508321</v>
      </c>
      <c r="S16" s="32" t="n">
        <v>60.049992</v>
      </c>
      <c r="T16" s="33" t="n">
        <f aca="false">R16-S16</f>
        <v>-2.34916787178463E-006</v>
      </c>
      <c r="U16" s="8" t="s">
        <v>403</v>
      </c>
      <c r="V16" s="8" t="s">
        <v>404</v>
      </c>
      <c r="W16" s="34"/>
      <c r="X16" s="34"/>
    </row>
    <row r="17" customFormat="false" ht="90.25" hidden="false" customHeight="false" outlineLevel="0" collapsed="false">
      <c r="A17" s="24" t="n">
        <v>13</v>
      </c>
      <c r="B17" s="24" t="s">
        <v>427</v>
      </c>
      <c r="C17" s="24" t="s">
        <v>430</v>
      </c>
      <c r="D17" s="24" t="s">
        <v>406</v>
      </c>
      <c r="E17" s="25" t="n">
        <v>0.2</v>
      </c>
      <c r="F17" s="26"/>
      <c r="G17" s="36" t="n">
        <f aca="false">$G$15</f>
        <v>1499.4578</v>
      </c>
      <c r="H17" s="26"/>
      <c r="I17" s="26"/>
      <c r="J17" s="37" t="n">
        <v>90</v>
      </c>
      <c r="K17" s="35" t="n">
        <v>1.5</v>
      </c>
      <c r="L17" s="29" t="n">
        <f aca="false">E17</f>
        <v>0.2</v>
      </c>
      <c r="M17" s="30" t="n">
        <f aca="false">G17/3600/(PI()*L17^2/4)</f>
        <v>13.258117823761</v>
      </c>
      <c r="N17" s="31" t="n">
        <f aca="false">M17*L17/'1 Исходные'!$D$7</f>
        <v>176070.621829496</v>
      </c>
      <c r="O17" s="33" t="n">
        <f aca="false">IF(N17&lt;=2000,64/N17,IF(N17&gt;=4000,0.11*('1 Исходные'!$D$10/L17+68/N17)^0.25,(1-(N17-2000)/2000)*64/2000+(N17-2000)/2000*0.11*('1 Исходные'!$D$10/L17+68/4000)^0.25))</f>
        <v>0.0189791467266098</v>
      </c>
      <c r="P17" s="29" t="n">
        <f aca="false">X17*W17*IF(J17&gt;=180,1.4,INDEX('4 Таблицы'!$B$18:$B$28,MATCH(J17,'4 Таблицы'!$A$18:$A$28,1))+(J17-INDEX('4 Таблицы'!$A$18:$A$28,MATCH(J17,'4 Таблицы'!$A$18:$A$28,1)))*(INDEX('4 Таблицы'!$B$18:$B$28,MATCH(J17,'4 Таблицы'!$A$18:$A$28,1)+1)-INDEX('4 Таблицы'!$B$18:$B$28,MATCH(J17,'4 Таблицы'!$A$18:$A$28,1)))/(INDEX('4 Таблицы'!$A$18:$A$28,MATCH(J17,'4 Таблицы'!$A$18:$A$28,1)+1)-INDEX('4 Таблицы'!$A$18:$A$28,MATCH(J17,'4 Таблицы'!$A$18:$A$28,1))))*IF(K17&lt;=1,0.21/K17^2.5,0.21/K17^0.5)</f>
        <v>0.239428727986261</v>
      </c>
      <c r="Q17" s="30" t="n">
        <f aca="false">'1 Исходные'!$D$6*M17^2/2</f>
        <v>105.466612937238</v>
      </c>
      <c r="R17" s="30" t="n">
        <f aca="false">P17*Q17</f>
        <v>25.2517369805822</v>
      </c>
      <c r="S17" s="32" t="n">
        <v>25.251738</v>
      </c>
      <c r="T17" s="33" t="n">
        <f aca="false">R17-S17</f>
        <v>-1.0194177626488E-006</v>
      </c>
      <c r="U17" s="8" t="s">
        <v>407</v>
      </c>
      <c r="V17" s="8" t="s">
        <v>408</v>
      </c>
      <c r="W17" s="38" t="n">
        <f aca="false">IF(K17&gt;0.7,1.3-0.29*LN(MAX(N17,10000)*0.00001),IF(K17&gt;0.55,5.45/MAX(N17,10000)^0.131,1+4400/MAX(N17,10000)))</f>
        <v>1.13594265320117</v>
      </c>
      <c r="X17" s="38" t="n">
        <f aca="false">IF(N17&lt;=32000,1,IF(N17&lt;50000,(1+MIN(1,MAX(0,LN(N17/32000)/LN(50000/32000)))*((O17*(1.8*LOG10(MAX(N17,4000))-1.64)^2)-1)),IF(N17&lt;=160000,(O17*(1.8*LOG10(MAX(N17,4000))-1.64)^2),IF(N17&lt;250000,((O17*(1.8*LOG10(MAX(N17,4000))-1.64)^2)+MIN(1,MAX(0,LN(N17/160000)/LN(250000/160000)))*((1+MIN('1 Исходные'!$D$10/L17,0.001)*1000)-(O17*(1.8*LOG10(MAX(N17,4000))-1.64)^2))),(1+MIN('1 Исходные'!$D$10/L17,0.001)*1000)))))</f>
        <v>1.22926689518138</v>
      </c>
    </row>
    <row r="18" customFormat="false" ht="90.25" hidden="false" customHeight="false" outlineLevel="0" collapsed="false">
      <c r="A18" s="24" t="n">
        <v>14</v>
      </c>
      <c r="B18" s="24" t="s">
        <v>427</v>
      </c>
      <c r="C18" s="24" t="s">
        <v>431</v>
      </c>
      <c r="D18" s="24" t="s">
        <v>406</v>
      </c>
      <c r="E18" s="25" t="n">
        <v>0.2</v>
      </c>
      <c r="F18" s="26"/>
      <c r="G18" s="36" t="n">
        <f aca="false">$G$15</f>
        <v>1499.4578</v>
      </c>
      <c r="H18" s="26"/>
      <c r="I18" s="26"/>
      <c r="J18" s="37" t="n">
        <v>45</v>
      </c>
      <c r="K18" s="35" t="n">
        <v>1.5</v>
      </c>
      <c r="L18" s="29" t="n">
        <f aca="false">E18</f>
        <v>0.2</v>
      </c>
      <c r="M18" s="30" t="n">
        <f aca="false">G18/3600/(PI()*L18^2/4)</f>
        <v>13.258117823761</v>
      </c>
      <c r="N18" s="31" t="n">
        <f aca="false">M18*L18/'1 Исходные'!$D$7</f>
        <v>176070.621829496</v>
      </c>
      <c r="O18" s="33" t="n">
        <f aca="false">IF(N18&lt;=2000,64/N18,IF(N18&gt;=4000,0.11*('1 Исходные'!$D$10/L18+68/N18)^0.25,(1-(N18-2000)/2000)*64/2000+(N18-2000)/2000*0.11*('1 Исходные'!$D$10/L18+68/4000)^0.25))</f>
        <v>0.0189791467266098</v>
      </c>
      <c r="P18" s="29" t="n">
        <f aca="false">X18*W18*IF(J18&gt;=180,1.4,INDEX('4 Таблицы'!$B$18:$B$28,MATCH(J18,'4 Таблицы'!$A$18:$A$28,1))+(J18-INDEX('4 Таблицы'!$A$18:$A$28,MATCH(J18,'4 Таблицы'!$A$18:$A$28,1)))*(INDEX('4 Таблицы'!$B$18:$B$28,MATCH(J18,'4 Таблицы'!$A$18:$A$28,1)+1)-INDEX('4 Таблицы'!$B$18:$B$28,MATCH(J18,'4 Таблицы'!$A$18:$A$28,1)))/(INDEX('4 Таблицы'!$A$18:$A$28,MATCH(J18,'4 Таблицы'!$A$18:$A$28,1)+1)-INDEX('4 Таблицы'!$A$18:$A$28,MATCH(J18,'4 Таблицы'!$A$18:$A$28,1))))*IF(K18&lt;=1,0.21/K18^2.5,0.21/K18^0.5)</f>
        <v>0.143657236791757</v>
      </c>
      <c r="Q18" s="30" t="n">
        <f aca="false">'1 Исходные'!$D$6*M18^2/2</f>
        <v>105.466612937238</v>
      </c>
      <c r="R18" s="30" t="n">
        <f aca="false">P18*Q18</f>
        <v>15.1510421883493</v>
      </c>
      <c r="S18" s="32" t="n">
        <v>15.151043</v>
      </c>
      <c r="T18" s="33" t="n">
        <f aca="false">R18-S18</f>
        <v>-8.11650659571228E-007</v>
      </c>
      <c r="U18" s="8" t="s">
        <v>410</v>
      </c>
      <c r="V18" s="8" t="s">
        <v>408</v>
      </c>
      <c r="W18" s="38" t="n">
        <f aca="false">IF(K18&gt;0.7,1.3-0.29*LN(MAX(N18,10000)*0.00001),IF(K18&gt;0.55,5.45/MAX(N18,10000)^0.131,1+4400/MAX(N18,10000)))</f>
        <v>1.13594265320117</v>
      </c>
      <c r="X18" s="38" t="n">
        <f aca="false">IF(N18&lt;=32000,1,IF(N18&lt;50000,(1+MIN(1,MAX(0,LN(N18/32000)/LN(50000/32000)))*((O18*(1.8*LOG10(MAX(N18,4000))-1.64)^2)-1)),IF(N18&lt;=160000,(O18*(1.8*LOG10(MAX(N18,4000))-1.64)^2),IF(N18&lt;250000,((O18*(1.8*LOG10(MAX(N18,4000))-1.64)^2)+MIN(1,MAX(0,LN(N18/160000)/LN(250000/160000)))*((1+MIN('1 Исходные'!$D$10/L18,0.001)*1000)-(O18*(1.8*LOG10(MAX(N18,4000))-1.64)^2))),(1+MIN('1 Исходные'!$D$10/L18,0.001)*1000)))))</f>
        <v>1.22926689518138</v>
      </c>
    </row>
    <row r="19" customFormat="false" ht="26.85" hidden="false" customHeight="false" outlineLevel="0" collapsed="false">
      <c r="A19" s="24" t="n">
        <v>15</v>
      </c>
      <c r="B19" s="24" t="s">
        <v>427</v>
      </c>
      <c r="C19" s="24" t="s">
        <v>432</v>
      </c>
      <c r="D19" s="24" t="s">
        <v>412</v>
      </c>
      <c r="E19" s="25" t="n">
        <v>0.2</v>
      </c>
      <c r="F19" s="26"/>
      <c r="G19" s="36" t="n">
        <f aca="false">$G$15</f>
        <v>1499.4578</v>
      </c>
      <c r="H19" s="26"/>
      <c r="I19" s="26"/>
      <c r="J19" s="32" t="n">
        <v>5.21025</v>
      </c>
      <c r="K19" s="26"/>
      <c r="L19" s="29" t="n">
        <f aca="false">E19</f>
        <v>0.2</v>
      </c>
      <c r="M19" s="30" t="n">
        <f aca="false">G19/3600/(PI()*L19^2/4)</f>
        <v>13.258117823761</v>
      </c>
      <c r="N19" s="31" t="n">
        <f aca="false">M19*L19/'1 Исходные'!$D$7</f>
        <v>176070.621829496</v>
      </c>
      <c r="O19" s="26"/>
      <c r="P19" s="29" t="n">
        <f aca="false">IF(J19&gt;=90,10000,EXP(LN(INDEX('4 Таблицы'!$B$5:$B$13,MATCH(J19,'4 Таблицы'!$A$5:$A$13,1)))+(J19-INDEX('4 Таблицы'!$A$5:$A$13,MATCH(J19,'4 Таблицы'!$A$5:$A$13,1)))/(INDEX('4 Таблицы'!$A$5:$A$13,MATCH(J19,'4 Таблицы'!$A$5:$A$13,1)+1)-INDEX('4 Таблицы'!$A$5:$A$13,MATCH(J19,'4 Таблицы'!$A$5:$A$13,1)))*(LN(INDEX('4 Таблицы'!$B$5:$B$13,MATCH(J19,'4 Таблицы'!$A$5:$A$13,1)+1))-LN(INDEX('4 Таблицы'!$B$5:$B$13,MATCH(J19,'4 Таблицы'!$A$5:$A$13,1))))))</f>
        <v>0.329034535767356</v>
      </c>
      <c r="Q19" s="30" t="n">
        <f aca="false">'1 Исходные'!$D$6*M19^2/2</f>
        <v>105.466612937238</v>
      </c>
      <c r="R19" s="30" t="n">
        <f aca="false">P19*Q19</f>
        <v>34.7021580267596</v>
      </c>
      <c r="S19" s="32" t="n">
        <v>34.702159</v>
      </c>
      <c r="T19" s="33" t="n">
        <f aca="false">R19-S19</f>
        <v>-9.73240453561175E-007</v>
      </c>
      <c r="U19" s="8" t="s">
        <v>413</v>
      </c>
      <c r="V19" s="8" t="s">
        <v>414</v>
      </c>
      <c r="W19" s="34"/>
      <c r="X19" s="34"/>
    </row>
    <row r="20" customFormat="false" ht="52.2" hidden="false" customHeight="false" outlineLevel="0" collapsed="false">
      <c r="A20" s="24" t="n">
        <v>16</v>
      </c>
      <c r="B20" s="24" t="s">
        <v>427</v>
      </c>
      <c r="C20" s="24" t="s">
        <v>433</v>
      </c>
      <c r="D20" s="24" t="s">
        <v>434</v>
      </c>
      <c r="E20" s="25" t="n">
        <v>0.2</v>
      </c>
      <c r="F20" s="26"/>
      <c r="G20" s="36" t="n">
        <f aca="false">$G$15</f>
        <v>1499.4578</v>
      </c>
      <c r="H20" s="36" t="n">
        <f aca="false">$G$21</f>
        <v>2998.7509</v>
      </c>
      <c r="I20" s="26"/>
      <c r="J20" s="25" t="n">
        <v>0.315</v>
      </c>
      <c r="K20" s="26"/>
      <c r="L20" s="29" t="n">
        <f aca="false">J20</f>
        <v>0.315</v>
      </c>
      <c r="M20" s="30" t="n">
        <f aca="false">H20/3600/(PI()*L20^2/4)</f>
        <v>10.688749561015</v>
      </c>
      <c r="N20" s="31" t="n">
        <f aca="false">M20*L20/'1 Исходные'!$D$7</f>
        <v>223569.462929596</v>
      </c>
      <c r="O20" s="26"/>
      <c r="P20" s="29" t="n">
        <f aca="false">IF((E20/J20)^2&lt;=0.35,1,MAX(0.9*(1-(G20/H20)),0.55))*(1+((G20/H20)*(J20/E20)^2)^2-2*(1-(G20/H20))^2)</f>
        <v>1.12122945418087</v>
      </c>
      <c r="Q20" s="30" t="n">
        <f aca="false">'1 Исходные'!$D$6*M20^2/2</f>
        <v>68.5496203068587</v>
      </c>
      <c r="R20" s="30" t="n">
        <f aca="false">P20*Q20</f>
        <v>76.8598533609653</v>
      </c>
      <c r="S20" s="32" t="n">
        <v>76.859856</v>
      </c>
      <c r="T20" s="33" t="n">
        <f aca="false">R20-S20</f>
        <v>-2.63903474717608E-006</v>
      </c>
      <c r="U20" s="8" t="s">
        <v>435</v>
      </c>
      <c r="V20" s="8" t="s">
        <v>436</v>
      </c>
      <c r="W20" s="34"/>
      <c r="X20" s="34"/>
    </row>
    <row r="21" customFormat="false" ht="39.55" hidden="false" customHeight="false" outlineLevel="0" collapsed="false">
      <c r="A21" s="24" t="n">
        <v>17</v>
      </c>
      <c r="B21" s="24" t="s">
        <v>437</v>
      </c>
      <c r="C21" s="24" t="s">
        <v>437</v>
      </c>
      <c r="D21" s="24" t="s">
        <v>402</v>
      </c>
      <c r="E21" s="25" t="n">
        <v>0.315</v>
      </c>
      <c r="F21" s="35" t="n">
        <v>5</v>
      </c>
      <c r="G21" s="36" t="n">
        <f aca="false">$G$12+$G$15</f>
        <v>2998.7509</v>
      </c>
      <c r="H21" s="26"/>
      <c r="I21" s="26"/>
      <c r="J21" s="26"/>
      <c r="K21" s="26"/>
      <c r="L21" s="29" t="n">
        <f aca="false">E21</f>
        <v>0.315</v>
      </c>
      <c r="M21" s="30" t="n">
        <f aca="false">G21/3600/(PI()*L21^2/4)</f>
        <v>10.688749561015</v>
      </c>
      <c r="N21" s="31" t="n">
        <f aca="false">M21*L21/'1 Исходные'!$D$7</f>
        <v>223569.462929596</v>
      </c>
      <c r="O21" s="33" t="n">
        <f aca="false">IF(N21&lt;=2000,64/N21,IF(N21&gt;=4000,0.11*('1 Исходные'!$D$10/E21+68/N21)^0.25,(1-(N21-2000)/2000)*64/2000+(N21-2000)/2000*0.11*('1 Исходные'!$D$10/E21+68/4000)^0.25))</f>
        <v>0.017368939072511</v>
      </c>
      <c r="P21" s="29" t="n">
        <f aca="false">O21*F21/E21</f>
        <v>0.275697445595412</v>
      </c>
      <c r="Q21" s="30" t="n">
        <f aca="false">'1 Исходные'!$D$6*M21^2/2</f>
        <v>68.5496203068587</v>
      </c>
      <c r="R21" s="30" t="n">
        <f aca="false">P21*Q21</f>
        <v>18.8989552151363</v>
      </c>
      <c r="S21" s="32" t="n">
        <v>18.898956</v>
      </c>
      <c r="T21" s="33" t="n">
        <f aca="false">R21-S21</f>
        <v>-7.84863672720348E-007</v>
      </c>
      <c r="U21" s="8" t="s">
        <v>403</v>
      </c>
      <c r="V21" s="8" t="s">
        <v>404</v>
      </c>
      <c r="W21" s="34"/>
      <c r="X21" s="34"/>
    </row>
    <row r="22" customFormat="false" ht="77.6" hidden="false" customHeight="false" outlineLevel="0" collapsed="false">
      <c r="A22" s="24" t="n">
        <v>18</v>
      </c>
      <c r="B22" s="24" t="s">
        <v>437</v>
      </c>
      <c r="C22" s="24" t="s">
        <v>438</v>
      </c>
      <c r="D22" s="24" t="s">
        <v>418</v>
      </c>
      <c r="E22" s="25" t="n">
        <v>0.315</v>
      </c>
      <c r="F22" s="26"/>
      <c r="G22" s="36" t="n">
        <f aca="false">$G$21</f>
        <v>2998.7509</v>
      </c>
      <c r="H22" s="26"/>
      <c r="I22" s="26"/>
      <c r="J22" s="25" t="n">
        <v>0.4</v>
      </c>
      <c r="K22" s="37" t="n">
        <v>15</v>
      </c>
      <c r="L22" s="29" t="n">
        <f aca="false">E22</f>
        <v>0.315</v>
      </c>
      <c r="M22" s="30" t="n">
        <f aca="false">G22/3600/(PI()*L22^2/4)</f>
        <v>10.688749561015</v>
      </c>
      <c r="N22" s="31" t="n">
        <f aca="false">M22*L22/'1 Исходные'!$D$7</f>
        <v>223569.462929596</v>
      </c>
      <c r="O22" s="33" t="n">
        <f aca="false">IF(N22&lt;=2000,64/N22,IF(N22&gt;=4000,0.11*('1 Исходные'!$D$10/L22+68/N22)^0.25,(1-(N22-2000)/2000)*64/2000+(N22-2000)/2000*0.11*('1 Исходные'!$D$10/L22+68/4000)^0.25))</f>
        <v>0.017368939072511</v>
      </c>
      <c r="P22" s="33" t="n">
        <f aca="false">MAX(0,W22-(O22/(8*SIN(RADIANS(K22/2)))*(1-1/(2)^2)))*((1-1/((J22/E22)^2))/0.5)^1.92+(O22/(8*SIN(RADIANS(K22/2)))*(1-1/(((J22/E22)^2))^2))</f>
        <v>0.0413816399099553</v>
      </c>
      <c r="Q22" s="30" t="n">
        <f aca="false">'1 Исходные'!$D$6*M22^2/2</f>
        <v>68.5496203068587</v>
      </c>
      <c r="R22" s="30" t="n">
        <f aca="false">P22*Q22</f>
        <v>2.83669570350259</v>
      </c>
      <c r="S22" s="32" t="n">
        <v>2.836696</v>
      </c>
      <c r="T22" s="33" t="n">
        <f aca="false">R22-S22</f>
        <v>-2.96497411955698E-007</v>
      </c>
      <c r="U22" s="8" t="s">
        <v>419</v>
      </c>
      <c r="V22" s="8" t="s">
        <v>420</v>
      </c>
      <c r="W22" s="38" t="n">
        <f aca="true">(INDEX(OFFSET('4 Таблицы'!$C$33,MIN(MATCH(LN(MIN(MAX(N22,50000),400000)),'4 Таблицы'!$B$33:$B$36,1),3)-1,0,1,15),1,MIN(MATCH(K22,'4 Таблицы'!$C$32:$Q$32,1),14))+(K22-INDEX('4 Таблицы'!$C$32:$Q$32,1,MIN(MATCH(K22,'4 Таблицы'!$C$32:$Q$32,1),14)))*(INDEX(OFFSET('4 Таблицы'!$C$33,MIN(MATCH(LN(MIN(MAX(N22,50000),400000)),'4 Таблицы'!$B$33:$B$36,1),3)-1,0,1,15),1,MIN(MATCH(K22,'4 Таблицы'!$C$32:$Q$32,1),14)+1)-INDEX(OFFSET('4 Таблицы'!$C$33,MIN(MATCH(LN(MIN(MAX(N22,50000),400000)),'4 Таблицы'!$B$33:$B$36,1),3)-1,0,1,15),1,MIN(MATCH(K22,'4 Таблицы'!$C$32:$Q$32,1),14)))/(INDEX('4 Таблицы'!$C$32:$Q$32,1,MIN(MATCH(K22,'4 Таблицы'!$C$32:$Q$32,1),14)+1)-INDEX('4 Таблицы'!$C$32:$Q$32,1,MIN(MATCH(K22,'4 Таблицы'!$C$32:$Q$32,1),14))))+(LN(MIN(MAX(N22,50000),400000))-INDEX('4 Таблицы'!$B$33:$B$36,MIN(MATCH(LN(MIN(MAX(N22,50000),400000)),'4 Таблицы'!$B$33:$B$36,1),3)))/(INDEX('4 Таблицы'!$B$33:$B$36,MIN(MATCH(LN(MIN(MAX(N22,50000),400000)),'4 Таблицы'!$B$33:$B$36,1),3)+1)-INDEX('4 Таблицы'!$B$33:$B$36,MIN(MATCH(LN(MIN(MAX(N22,50000),400000)),'4 Таблицы'!$B$33:$B$36,1),3)))*((INDEX(OFFSET('4 Таблицы'!$C$33,MIN(MATCH(LN(MIN(MAX(N22,50000),400000)),'4 Таблицы'!$B$33:$B$36,1),3),0,1,15),1,MIN(MATCH(K22,'4 Таблицы'!$C$32:$Q$32,1),14))+(K22-INDEX('4 Таблицы'!$C$32:$Q$32,1,MIN(MATCH(K22,'4 Таблицы'!$C$32:$Q$32,1),14)))*(INDEX(OFFSET('4 Таблицы'!$C$33,MIN(MATCH(LN(MIN(MAX(N22,50000),400000)),'4 Таблицы'!$B$33:$B$36,1),3),0,1,15),1,MIN(MATCH(K22,'4 Таблицы'!$C$32:$Q$32,1),14)+1)-INDEX(OFFSET('4 Таблицы'!$C$33,MIN(MATCH(LN(MIN(MAX(N22,50000),400000)),'4 Таблицы'!$B$33:$B$36,1),3),0,1,15),1,MIN(MATCH(K22,'4 Таблицы'!$C$32:$Q$32,1),14)))/(INDEX('4 Таблицы'!$C$32:$Q$32,1,MIN(MATCH(K22,'4 Таблицы'!$C$32:$Q$32,1),14)+1)-INDEX('4 Таблицы'!$C$32:$Q$32,1,MIN(MATCH(K22,'4 Таблицы'!$C$32:$Q$32,1),14))))-(INDEX(OFFSET('4 Таблицы'!$C$33,MIN(MATCH(LN(MIN(MAX(N22,50000),400000)),'4 Таблицы'!$B$33:$B$36,1),3)-1,0,1,15),1,MIN(MATCH(K22,'4 Таблицы'!$C$32:$Q$32,1),14))+(K22-INDEX('4 Таблицы'!$C$32:$Q$32,1,MIN(MATCH(K22,'4 Таблицы'!$C$32:$Q$32,1),14)))*(INDEX(OFFSET('4 Таблицы'!$C$33,MIN(MATCH(LN(MIN(MAX(N22,50000),400000)),'4 Таблицы'!$B$33:$B$36,1),3)-1,0,1,15),1,MIN(MATCH(K22,'4 Таблицы'!$C$32:$Q$32,1),14)+1)-INDEX(OFFSET('4 Таблицы'!$C$33,MIN(MATCH(LN(MIN(MAX(N22,50000),400000)),'4 Таблицы'!$B$33:$B$36,1),3)-1,0,1,15),1,MIN(MATCH(K22,'4 Таблицы'!$C$32:$Q$32,1),14)))/(INDEX('4 Таблицы'!$C$32:$Q$32,1,MIN(MATCH(K22,'4 Таблицы'!$C$32:$Q$32,1),14)+1)-INDEX('4 Таблицы'!$C$32:$Q$32,1,MIN(MATCH(K22,'4 Таблицы'!$C$32:$Q$32,1),14)))))</f>
        <v>0.0652677065223305</v>
      </c>
      <c r="X22" s="34"/>
    </row>
    <row r="23" customFormat="false" ht="39.55" hidden="false" customHeight="false" outlineLevel="0" collapsed="false">
      <c r="A23" s="24" t="n">
        <v>19</v>
      </c>
      <c r="B23" s="24" t="s">
        <v>437</v>
      </c>
      <c r="C23" s="24" t="s">
        <v>439</v>
      </c>
      <c r="D23" s="24" t="s">
        <v>424</v>
      </c>
      <c r="E23" s="25" t="n">
        <v>0.4</v>
      </c>
      <c r="F23" s="26"/>
      <c r="G23" s="36" t="n">
        <f aca="false">$G$21</f>
        <v>2998.7509</v>
      </c>
      <c r="H23" s="36" t="n">
        <f aca="false">G23+I23</f>
        <v>4498.3003</v>
      </c>
      <c r="I23" s="36" t="n">
        <f aca="false">$G$24</f>
        <v>1499.5494</v>
      </c>
      <c r="J23" s="26"/>
      <c r="K23" s="26"/>
      <c r="L23" s="29" t="n">
        <f aca="false">E23</f>
        <v>0.4</v>
      </c>
      <c r="M23" s="30" t="n">
        <f aca="false">H23/3600/(PI()*L23^2/4)</f>
        <v>9.94342678134383</v>
      </c>
      <c r="N23" s="31" t="n">
        <f aca="false">M23*L23/'1 Исходные'!$D$7</f>
        <v>264101.640938747</v>
      </c>
      <c r="O23" s="26"/>
      <c r="P23" s="29" t="n">
        <f aca="false">1.55*(I23/H23)-(I23/H23)^2</f>
        <v>0.405578327319501</v>
      </c>
      <c r="Q23" s="30" t="n">
        <f aca="false">'1 Исходные'!$D$6*M23^2/2</f>
        <v>59.3230416935674</v>
      </c>
      <c r="R23" s="30" t="n">
        <f aca="false">P23*Q23</f>
        <v>24.0601400215821</v>
      </c>
      <c r="S23" s="32" t="n">
        <v>24.060141</v>
      </c>
      <c r="T23" s="33" t="n">
        <f aca="false">R23-S23</f>
        <v>-9.78417883601424E-007</v>
      </c>
      <c r="U23" s="8" t="s">
        <v>425</v>
      </c>
      <c r="V23" s="8" t="s">
        <v>426</v>
      </c>
      <c r="W23" s="34"/>
      <c r="X23" s="34"/>
    </row>
    <row r="24" customFormat="false" ht="39.55" hidden="false" customHeight="false" outlineLevel="0" collapsed="false">
      <c r="A24" s="24" t="n">
        <v>20</v>
      </c>
      <c r="B24" s="24" t="s">
        <v>440</v>
      </c>
      <c r="C24" s="24" t="s">
        <v>441</v>
      </c>
      <c r="D24" s="24" t="s">
        <v>398</v>
      </c>
      <c r="E24" s="25" t="n">
        <v>0.2</v>
      </c>
      <c r="F24" s="26"/>
      <c r="G24" s="27" t="n">
        <v>1499.5494</v>
      </c>
      <c r="H24" s="26"/>
      <c r="I24" s="26"/>
      <c r="J24" s="28" t="n">
        <v>0.2</v>
      </c>
      <c r="K24" s="26"/>
      <c r="L24" s="29" t="n">
        <f aca="false">E24</f>
        <v>0.2</v>
      </c>
      <c r="M24" s="30" t="n">
        <f aca="false">G24/3600/(PI()*L24^2/4)</f>
        <v>13.2589277455825</v>
      </c>
      <c r="N24" s="31" t="n">
        <f aca="false">M24*L24/'1 Исходные'!$D$7</f>
        <v>176081.37776338</v>
      </c>
      <c r="O24" s="26"/>
      <c r="P24" s="29" t="n">
        <f aca="false">J24</f>
        <v>0.2</v>
      </c>
      <c r="Q24" s="30" t="n">
        <f aca="false">'1 Исходные'!$D$6*M24^2/2</f>
        <v>105.479498977547</v>
      </c>
      <c r="R24" s="30" t="n">
        <f aca="false">P24*Q24</f>
        <v>21.0958997955094</v>
      </c>
      <c r="S24" s="32" t="n">
        <v>21.0959</v>
      </c>
      <c r="T24" s="33" t="n">
        <f aca="false">R24-S24</f>
        <v>-2.04490572031091E-007</v>
      </c>
      <c r="U24" s="8" t="s">
        <v>399</v>
      </c>
      <c r="V24" s="8" t="s">
        <v>400</v>
      </c>
      <c r="W24" s="34"/>
      <c r="X24" s="34"/>
    </row>
    <row r="25" customFormat="false" ht="39.55" hidden="false" customHeight="false" outlineLevel="0" collapsed="false">
      <c r="A25" s="24" t="n">
        <v>21</v>
      </c>
      <c r="B25" s="24" t="s">
        <v>440</v>
      </c>
      <c r="C25" s="24" t="s">
        <v>442</v>
      </c>
      <c r="D25" s="24" t="s">
        <v>402</v>
      </c>
      <c r="E25" s="25" t="n">
        <v>0.2</v>
      </c>
      <c r="F25" s="35" t="n">
        <v>6</v>
      </c>
      <c r="G25" s="36" t="n">
        <f aca="false">$G$24</f>
        <v>1499.5494</v>
      </c>
      <c r="H25" s="26"/>
      <c r="I25" s="26"/>
      <c r="J25" s="26"/>
      <c r="K25" s="26"/>
      <c r="L25" s="29" t="n">
        <f aca="false">E25</f>
        <v>0.2</v>
      </c>
      <c r="M25" s="30" t="n">
        <f aca="false">G25/3600/(PI()*L25^2/4)</f>
        <v>13.2589277455825</v>
      </c>
      <c r="N25" s="31" t="n">
        <f aca="false">M25*L25/'1 Исходные'!$D$7</f>
        <v>176081.37776338</v>
      </c>
      <c r="O25" s="33" t="n">
        <f aca="false">IF(N25&lt;=2000,64/N25,IF(N25&gt;=4000,0.11*('1 Исходные'!$D$10/E25+68/N25)^0.25,(1-(N25-2000)/2000)*64/2000+(N25-2000)/2000*0.11*('1 Исходные'!$D$10/E25+68/4000)^0.25))</f>
        <v>0.0189790204154433</v>
      </c>
      <c r="P25" s="29" t="n">
        <f aca="false">O25*F25/E25</f>
        <v>0.5693706124633</v>
      </c>
      <c r="Q25" s="30" t="n">
        <f aca="false">'1 Исходные'!$D$6*M25^2/2</f>
        <v>105.479498977547</v>
      </c>
      <c r="R25" s="30" t="n">
        <f aca="false">P25*Q25</f>
        <v>60.0569269351681</v>
      </c>
      <c r="S25" s="32" t="n">
        <v>60.056928</v>
      </c>
      <c r="T25" s="33" t="n">
        <f aca="false">R25-S25</f>
        <v>-1.06483192041651E-006</v>
      </c>
      <c r="U25" s="8" t="s">
        <v>403</v>
      </c>
      <c r="V25" s="8" t="s">
        <v>404</v>
      </c>
      <c r="W25" s="34"/>
      <c r="X25" s="34"/>
    </row>
    <row r="26" customFormat="false" ht="90.25" hidden="false" customHeight="false" outlineLevel="0" collapsed="false">
      <c r="A26" s="24" t="n">
        <v>22</v>
      </c>
      <c r="B26" s="24" t="s">
        <v>440</v>
      </c>
      <c r="C26" s="24" t="s">
        <v>443</v>
      </c>
      <c r="D26" s="24" t="s">
        <v>406</v>
      </c>
      <c r="E26" s="25" t="n">
        <v>0.2</v>
      </c>
      <c r="F26" s="26"/>
      <c r="G26" s="36" t="n">
        <f aca="false">$G$24</f>
        <v>1499.5494</v>
      </c>
      <c r="H26" s="26"/>
      <c r="I26" s="26"/>
      <c r="J26" s="37" t="n">
        <v>90</v>
      </c>
      <c r="K26" s="35" t="n">
        <v>1.5</v>
      </c>
      <c r="L26" s="29" t="n">
        <f aca="false">E26</f>
        <v>0.2</v>
      </c>
      <c r="M26" s="30" t="n">
        <f aca="false">G26/3600/(PI()*L26^2/4)</f>
        <v>13.2589277455825</v>
      </c>
      <c r="N26" s="31" t="n">
        <f aca="false">M26*L26/'1 Исходные'!$D$7</f>
        <v>176081.37776338</v>
      </c>
      <c r="O26" s="33" t="n">
        <f aca="false">IF(N26&lt;=2000,64/N26,IF(N26&gt;=4000,0.11*('1 Исходные'!$D$10/L26+68/N26)^0.25,(1-(N26-2000)/2000)*64/2000+(N26-2000)/2000*0.11*('1 Исходные'!$D$10/L26+68/4000)^0.25))</f>
        <v>0.0189790204154433</v>
      </c>
      <c r="P26" s="29" t="n">
        <f aca="false">X26*W26*IF(J26&gt;=180,1.4,INDEX('4 Таблицы'!$B$18:$B$28,MATCH(J26,'4 Таблицы'!$A$18:$A$28,1))+(J26-INDEX('4 Таблицы'!$A$18:$A$28,MATCH(J26,'4 Таблицы'!$A$18:$A$28,1)))*(INDEX('4 Таблицы'!$B$18:$B$28,MATCH(J26,'4 Таблицы'!$A$18:$A$28,1)+1)-INDEX('4 Таблицы'!$B$18:$B$28,MATCH(J26,'4 Таблицы'!$A$18:$A$28,1)))/(INDEX('4 Таблицы'!$A$18:$A$28,MATCH(J26,'4 Таблицы'!$A$18:$A$28,1)+1)-INDEX('4 Таблицы'!$A$18:$A$28,MATCH(J26,'4 Таблицы'!$A$18:$A$28,1))))*IF(K26&lt;=1,0.21/K26^2.5,0.21/K26^0.5)</f>
        <v>0.239435169464916</v>
      </c>
      <c r="Q26" s="30" t="n">
        <f aca="false">'1 Исходные'!$D$6*M26^2/2</f>
        <v>105.479498977547</v>
      </c>
      <c r="R26" s="30" t="n">
        <f aca="false">P26*Q26</f>
        <v>25.2555017127634</v>
      </c>
      <c r="S26" s="32" t="n">
        <v>25.255502</v>
      </c>
      <c r="T26" s="33" t="n">
        <f aca="false">R26-S26</f>
        <v>-2.87236609608499E-007</v>
      </c>
      <c r="U26" s="8" t="s">
        <v>407</v>
      </c>
      <c r="V26" s="8" t="s">
        <v>408</v>
      </c>
      <c r="W26" s="38" t="n">
        <f aca="false">IF(K26&gt;0.7,1.3-0.29*LN(MAX(N26,10000)*0.00001),IF(K26&gt;0.55,5.45/MAX(N26,10000)^0.131,1+4400/MAX(N26,10000)))</f>
        <v>1.13592493800528</v>
      </c>
      <c r="X26" s="38" t="n">
        <f aca="false">IF(N26&lt;=32000,1,IF(N26&lt;50000,(1+MIN(1,MAX(0,LN(N26/32000)/LN(50000/32000)))*((O26*(1.8*LOG10(MAX(N26,4000))-1.64)^2)-1)),IF(N26&lt;=160000,(O26*(1.8*LOG10(MAX(N26,4000))-1.64)^2),IF(N26&lt;250000,((O26*(1.8*LOG10(MAX(N26,4000))-1.64)^2)+MIN(1,MAX(0,LN(N26/160000)/LN(250000/160000)))*((1+MIN('1 Исходные'!$D$10/L26,0.001)*1000)-(O26*(1.8*LOG10(MAX(N26,4000))-1.64)^2))),(1+MIN('1 Исходные'!$D$10/L26,0.001)*1000)))))</f>
        <v>1.22931913821987</v>
      </c>
    </row>
    <row r="27" customFormat="false" ht="90.25" hidden="false" customHeight="false" outlineLevel="0" collapsed="false">
      <c r="A27" s="24" t="n">
        <v>23</v>
      </c>
      <c r="B27" s="24" t="s">
        <v>440</v>
      </c>
      <c r="C27" s="24" t="s">
        <v>444</v>
      </c>
      <c r="D27" s="24" t="s">
        <v>406</v>
      </c>
      <c r="E27" s="25" t="n">
        <v>0.2</v>
      </c>
      <c r="F27" s="26"/>
      <c r="G27" s="36" t="n">
        <f aca="false">$G$24</f>
        <v>1499.5494</v>
      </c>
      <c r="H27" s="26"/>
      <c r="I27" s="26"/>
      <c r="J27" s="37" t="n">
        <v>45</v>
      </c>
      <c r="K27" s="35" t="n">
        <v>1.5</v>
      </c>
      <c r="L27" s="29" t="n">
        <f aca="false">E27</f>
        <v>0.2</v>
      </c>
      <c r="M27" s="30" t="n">
        <f aca="false">G27/3600/(PI()*L27^2/4)</f>
        <v>13.2589277455825</v>
      </c>
      <c r="N27" s="31" t="n">
        <f aca="false">M27*L27/'1 Исходные'!$D$7</f>
        <v>176081.37776338</v>
      </c>
      <c r="O27" s="33" t="n">
        <f aca="false">IF(N27&lt;=2000,64/N27,IF(N27&gt;=4000,0.11*('1 Исходные'!$D$10/L27+68/N27)^0.25,(1-(N27-2000)/2000)*64/2000+(N27-2000)/2000*0.11*('1 Исходные'!$D$10/L27+68/4000)^0.25))</f>
        <v>0.0189790204154433</v>
      </c>
      <c r="P27" s="29" t="n">
        <f aca="false">X27*W27*IF(J27&gt;=180,1.4,INDEX('4 Таблицы'!$B$18:$B$28,MATCH(J27,'4 Таблицы'!$A$18:$A$28,1))+(J27-INDEX('4 Таблицы'!$A$18:$A$28,MATCH(J27,'4 Таблицы'!$A$18:$A$28,1)))*(INDEX('4 Таблицы'!$B$18:$B$28,MATCH(J27,'4 Таблицы'!$A$18:$A$28,1)+1)-INDEX('4 Таблицы'!$B$18:$B$28,MATCH(J27,'4 Таблицы'!$A$18:$A$28,1)))/(INDEX('4 Таблицы'!$A$18:$A$28,MATCH(J27,'4 Таблицы'!$A$18:$A$28,1)+1)-INDEX('4 Таблицы'!$A$18:$A$28,MATCH(J27,'4 Таблицы'!$A$18:$A$28,1))))*IF(K27&lt;=1,0.21/K27^2.5,0.21/K27^0.5)</f>
        <v>0.143661101678949</v>
      </c>
      <c r="Q27" s="30" t="n">
        <f aca="false">'1 Исходные'!$D$6*M27^2/2</f>
        <v>105.479498977547</v>
      </c>
      <c r="R27" s="30" t="n">
        <f aca="false">P27*Q27</f>
        <v>15.153301027658</v>
      </c>
      <c r="S27" s="32" t="n">
        <v>15.153301</v>
      </c>
      <c r="T27" s="33" t="n">
        <f aca="false">R27-S27</f>
        <v>2.76580305325069E-008</v>
      </c>
      <c r="U27" s="8" t="s">
        <v>410</v>
      </c>
      <c r="V27" s="8" t="s">
        <v>408</v>
      </c>
      <c r="W27" s="38" t="n">
        <f aca="false">IF(K27&gt;0.7,1.3-0.29*LN(MAX(N27,10000)*0.00001),IF(K27&gt;0.55,5.45/MAX(N27,10000)^0.131,1+4400/MAX(N27,10000)))</f>
        <v>1.13592493800528</v>
      </c>
      <c r="X27" s="38" t="n">
        <f aca="false">IF(N27&lt;=32000,1,IF(N27&lt;50000,(1+MIN(1,MAX(0,LN(N27/32000)/LN(50000/32000)))*((O27*(1.8*LOG10(MAX(N27,4000))-1.64)^2)-1)),IF(N27&lt;=160000,(O27*(1.8*LOG10(MAX(N27,4000))-1.64)^2),IF(N27&lt;250000,((O27*(1.8*LOG10(MAX(N27,4000))-1.64)^2)+MIN(1,MAX(0,LN(N27/160000)/LN(250000/160000)))*((1+MIN('1 Исходные'!$D$10/L27,0.001)*1000)-(O27*(1.8*LOG10(MAX(N27,4000))-1.64)^2))),(1+MIN('1 Исходные'!$D$10/L27,0.001)*1000)))))</f>
        <v>1.22931913821987</v>
      </c>
    </row>
    <row r="28" customFormat="false" ht="26.85" hidden="false" customHeight="false" outlineLevel="0" collapsed="false">
      <c r="A28" s="24" t="n">
        <v>24</v>
      </c>
      <c r="B28" s="24" t="s">
        <v>440</v>
      </c>
      <c r="C28" s="24" t="s">
        <v>445</v>
      </c>
      <c r="D28" s="24" t="s">
        <v>412</v>
      </c>
      <c r="E28" s="25" t="n">
        <v>0.2</v>
      </c>
      <c r="F28" s="26"/>
      <c r="G28" s="36" t="n">
        <f aca="false">$G$24</f>
        <v>1499.5494</v>
      </c>
      <c r="H28" s="26"/>
      <c r="I28" s="26"/>
      <c r="J28" s="32" t="n">
        <v>7.990537</v>
      </c>
      <c r="K28" s="26"/>
      <c r="L28" s="29" t="n">
        <f aca="false">E28</f>
        <v>0.2</v>
      </c>
      <c r="M28" s="30" t="n">
        <f aca="false">G28/3600/(PI()*L28^2/4)</f>
        <v>13.2589277455825</v>
      </c>
      <c r="N28" s="31" t="n">
        <f aca="false">M28*L28/'1 Исходные'!$D$7</f>
        <v>176081.37776338</v>
      </c>
      <c r="O28" s="26"/>
      <c r="P28" s="29" t="n">
        <f aca="false">IF(J28&gt;=90,10000,EXP(LN(INDEX('4 Таблицы'!$B$5:$B$13,MATCH(J28,'4 Таблицы'!$A$5:$A$13,1)))+(J28-INDEX('4 Таблицы'!$A$5:$A$13,MATCH(J28,'4 Таблицы'!$A$5:$A$13,1)))/(INDEX('4 Таблицы'!$A$5:$A$13,MATCH(J28,'4 Таблицы'!$A$5:$A$13,1)+1)-INDEX('4 Таблицы'!$A$5:$A$13,MATCH(J28,'4 Таблицы'!$A$5:$A$13,1)))*(LN(INDEX('4 Таблицы'!$B$5:$B$13,MATCH(J28,'4 Таблицы'!$A$5:$A$13,1)+1))-LN(INDEX('4 Таблицы'!$B$5:$B$13,MATCH(J28,'4 Таблицы'!$A$5:$A$13,1))))))</f>
        <v>0.429156786599716</v>
      </c>
      <c r="Q28" s="30" t="n">
        <f aca="false">'1 Исходные'!$D$6*M28^2/2</f>
        <v>105.479498977547</v>
      </c>
      <c r="R28" s="30" t="n">
        <f aca="false">P28*Q28</f>
        <v>45.2672428333521</v>
      </c>
      <c r="S28" s="32" t="n">
        <v>45.267243</v>
      </c>
      <c r="T28" s="33" t="n">
        <f aca="false">R28-S28</f>
        <v>-1.66647893706795E-007</v>
      </c>
      <c r="U28" s="8" t="s">
        <v>413</v>
      </c>
      <c r="V28" s="8" t="s">
        <v>414</v>
      </c>
      <c r="W28" s="34"/>
      <c r="X28" s="34"/>
    </row>
    <row r="29" customFormat="false" ht="52.2" hidden="false" customHeight="false" outlineLevel="0" collapsed="false">
      <c r="A29" s="24" t="n">
        <v>25</v>
      </c>
      <c r="B29" s="24" t="s">
        <v>440</v>
      </c>
      <c r="C29" s="24" t="s">
        <v>446</v>
      </c>
      <c r="D29" s="24" t="s">
        <v>434</v>
      </c>
      <c r="E29" s="25" t="n">
        <v>0.2</v>
      </c>
      <c r="F29" s="26"/>
      <c r="G29" s="36" t="n">
        <f aca="false">$G$24</f>
        <v>1499.5494</v>
      </c>
      <c r="H29" s="36" t="n">
        <f aca="false">$G$30</f>
        <v>4498.3003</v>
      </c>
      <c r="I29" s="26"/>
      <c r="J29" s="25" t="n">
        <v>0.4</v>
      </c>
      <c r="K29" s="26"/>
      <c r="L29" s="29" t="n">
        <f aca="false">J29</f>
        <v>0.4</v>
      </c>
      <c r="M29" s="30" t="n">
        <f aca="false">H29/3600/(PI()*L29^2/4)</f>
        <v>9.94342678134383</v>
      </c>
      <c r="N29" s="31" t="n">
        <f aca="false">M29*L29/'1 Исходные'!$D$7</f>
        <v>264101.640938747</v>
      </c>
      <c r="O29" s="26"/>
      <c r="P29" s="29" t="n">
        <f aca="false">IF((E29/J29)^2&lt;=0.35,1,MAX(0.9*(1-(G29/H29)),0.55))*(1+((G29/H29)*(J29/E29)^2)^2-2*(1-(G29/H29))^2)</f>
        <v>1.8892326329642</v>
      </c>
      <c r="Q29" s="30" t="n">
        <f aca="false">'1 Исходные'!$D$6*M29^2/2</f>
        <v>59.3230416935674</v>
      </c>
      <c r="R29" s="30" t="n">
        <f aca="false">P29*Q29</f>
        <v>112.075026254183</v>
      </c>
      <c r="S29" s="32" t="n">
        <v>112.075028</v>
      </c>
      <c r="T29" s="33" t="n">
        <f aca="false">R29-S29</f>
        <v>-1.7458167036466E-006</v>
      </c>
      <c r="U29" s="8" t="s">
        <v>435</v>
      </c>
      <c r="V29" s="8" t="s">
        <v>436</v>
      </c>
      <c r="W29" s="34"/>
      <c r="X29" s="34"/>
    </row>
    <row r="30" customFormat="false" ht="39.55" hidden="false" customHeight="false" outlineLevel="0" collapsed="false">
      <c r="A30" s="24" t="n">
        <v>26</v>
      </c>
      <c r="B30" s="24" t="s">
        <v>447</v>
      </c>
      <c r="C30" s="24" t="s">
        <v>447</v>
      </c>
      <c r="D30" s="24" t="s">
        <v>402</v>
      </c>
      <c r="E30" s="25" t="n">
        <v>0.4</v>
      </c>
      <c r="F30" s="35" t="n">
        <v>10</v>
      </c>
      <c r="G30" s="36" t="n">
        <f aca="false">$G$21+$G$24</f>
        <v>4498.3003</v>
      </c>
      <c r="H30" s="26"/>
      <c r="I30" s="26"/>
      <c r="J30" s="26"/>
      <c r="K30" s="26"/>
      <c r="L30" s="29" t="n">
        <f aca="false">E30</f>
        <v>0.4</v>
      </c>
      <c r="M30" s="30" t="n">
        <f aca="false">G30/3600/(PI()*L30^2/4)</f>
        <v>9.94342678134383</v>
      </c>
      <c r="N30" s="31" t="n">
        <f aca="false">M30*L30/'1 Исходные'!$D$7</f>
        <v>264101.640938747</v>
      </c>
      <c r="O30" s="33" t="n">
        <f aca="false">IF(N30&lt;=2000,64/N30,IF(N30&gt;=4000,0.11*('1 Исходные'!$D$10/E30+68/N30)^0.25,(1-(N30-2000)/2000)*64/2000+(N30-2000)/2000*0.11*('1 Исходные'!$D$10/E30+68/4000)^0.25))</f>
        <v>0.0165099856794089</v>
      </c>
      <c r="P30" s="29" t="n">
        <f aca="false">O30*F30/E30</f>
        <v>0.412749641985222</v>
      </c>
      <c r="Q30" s="30" t="n">
        <f aca="false">'1 Исходные'!$D$6*M30^2/2</f>
        <v>59.3230416935674</v>
      </c>
      <c r="R30" s="30" t="n">
        <f aca="false">P30*Q30</f>
        <v>24.4855642204943</v>
      </c>
      <c r="S30" s="32" t="n">
        <v>24.485565</v>
      </c>
      <c r="T30" s="33" t="n">
        <f aca="false">R30-S30</f>
        <v>-7.79505668901948E-007</v>
      </c>
      <c r="U30" s="8" t="s">
        <v>403</v>
      </c>
      <c r="V30" s="8" t="s">
        <v>404</v>
      </c>
      <c r="W30" s="34"/>
      <c r="X30" s="34"/>
    </row>
    <row r="31" customFormat="false" ht="90.25" hidden="false" customHeight="false" outlineLevel="0" collapsed="false">
      <c r="A31" s="24" t="n">
        <v>27</v>
      </c>
      <c r="B31" s="24" t="s">
        <v>447</v>
      </c>
      <c r="C31" s="24" t="s">
        <v>448</v>
      </c>
      <c r="D31" s="24" t="s">
        <v>406</v>
      </c>
      <c r="E31" s="25" t="n">
        <v>0.4</v>
      </c>
      <c r="F31" s="26"/>
      <c r="G31" s="36" t="n">
        <f aca="false">$G$30</f>
        <v>4498.3003</v>
      </c>
      <c r="H31" s="26"/>
      <c r="I31" s="26"/>
      <c r="J31" s="37" t="n">
        <v>90</v>
      </c>
      <c r="K31" s="35" t="n">
        <v>1.5</v>
      </c>
      <c r="L31" s="29" t="n">
        <f aca="false">E31</f>
        <v>0.4</v>
      </c>
      <c r="M31" s="30" t="n">
        <f aca="false">G31/3600/(PI()*L31^2/4)</f>
        <v>9.94342678134383</v>
      </c>
      <c r="N31" s="31" t="n">
        <f aca="false">M31*L31/'1 Исходные'!$D$7</f>
        <v>264101.640938747</v>
      </c>
      <c r="O31" s="33" t="n">
        <f aca="false">IF(N31&lt;=2000,64/N31,IF(N31&gt;=4000,0.11*('1 Исходные'!$D$10/L31+68/N31)^0.25,(1-(N31-2000)/2000)*64/2000+(N31-2000)/2000*0.11*('1 Исходные'!$D$10/L31+68/4000)^0.25))</f>
        <v>0.0165099856794089</v>
      </c>
      <c r="P31" s="29" t="n">
        <f aca="false">X31*W31*IF(J31&gt;=180,1.4,INDEX('4 Таблицы'!$B$18:$B$28,MATCH(J31,'4 Таблицы'!$A$18:$A$28,1))+(J31-INDEX('4 Таблицы'!$A$18:$A$28,MATCH(J31,'4 Таблицы'!$A$18:$A$28,1)))*(INDEX('4 Таблицы'!$B$18:$B$28,MATCH(J31,'4 Таблицы'!$A$18:$A$28,1)+1)-INDEX('4 Таблицы'!$B$18:$B$28,MATCH(J31,'4 Таблицы'!$A$18:$A$28,1)))/(INDEX('4 Таблицы'!$A$18:$A$28,MATCH(J31,'4 Таблицы'!$A$18:$A$28,1)+1)-INDEX('4 Таблицы'!$A$18:$A$28,MATCH(J31,'4 Таблицы'!$A$18:$A$28,1))))*IF(K31&lt;=1,0.21/K31^2.5,0.21/K31^0.5)</f>
        <v>0.218265990264874</v>
      </c>
      <c r="Q31" s="30" t="n">
        <f aca="false">'1 Исходные'!$D$6*M31^2/2</f>
        <v>59.3230416935674</v>
      </c>
      <c r="R31" s="30" t="n">
        <f aca="false">P31*Q31</f>
        <v>12.9482024407709</v>
      </c>
      <c r="S31" s="32" t="n">
        <v>12.948203</v>
      </c>
      <c r="T31" s="33" t="n">
        <f aca="false">R31-S31</f>
        <v>-5.59229103913594E-007</v>
      </c>
      <c r="U31" s="8" t="s">
        <v>449</v>
      </c>
      <c r="V31" s="8" t="s">
        <v>408</v>
      </c>
      <c r="W31" s="38" t="n">
        <f aca="false">IF(K31&gt;0.7,1.3-0.29*LN(MAX(N31,10000)*0.00001),IF(K31&gt;0.55,5.45/MAX(N31,10000)^0.131,1+4400/MAX(N31,10000)))</f>
        <v>1.01836248448042</v>
      </c>
      <c r="X31" s="38" t="n">
        <f aca="false">IF(N31&lt;=32000,1,IF(N31&lt;50000,(1+MIN(1,MAX(0,LN(N31/32000)/LN(50000/32000)))*((O31*(1.8*LOG10(MAX(N31,4000))-1.64)^2)-1)),IF(N31&lt;=160000,(O31*(1.8*LOG10(MAX(N31,4000))-1.64)^2),IF(N31&lt;250000,((O31*(1.8*LOG10(MAX(N31,4000))-1.64)^2)+MIN(1,MAX(0,LN(N31/160000)/LN(250000/160000)))*((1+MIN('1 Исходные'!$D$10/L31,0.001)*1000)-(O31*(1.8*LOG10(MAX(N31,4000))-1.64)^2))),(1+MIN('1 Исходные'!$D$10/L31,0.001)*1000)))))</f>
        <v>1.25</v>
      </c>
    </row>
    <row r="32" customFormat="false" ht="39.55" hidden="false" customHeight="false" outlineLevel="0" collapsed="false">
      <c r="A32" s="24" t="n">
        <v>28</v>
      </c>
      <c r="B32" s="24" t="s">
        <v>450</v>
      </c>
      <c r="C32" s="24" t="s">
        <v>451</v>
      </c>
      <c r="D32" s="24" t="s">
        <v>451</v>
      </c>
      <c r="E32" s="26"/>
      <c r="F32" s="26"/>
      <c r="G32" s="36" t="n">
        <f aca="false">$G$30</f>
        <v>4498.3003</v>
      </c>
      <c r="H32" s="26"/>
      <c r="I32" s="26"/>
      <c r="J32" s="37" t="n">
        <v>400</v>
      </c>
      <c r="K32" s="37" t="n">
        <v>4500</v>
      </c>
      <c r="L32" s="26"/>
      <c r="M32" s="26"/>
      <c r="N32" s="26"/>
      <c r="O32" s="26"/>
      <c r="P32" s="26"/>
      <c r="Q32" s="26"/>
      <c r="R32" s="30" t="n">
        <f aca="false">J32*(G32/K32)</f>
        <v>399.848915555556</v>
      </c>
      <c r="S32" s="32" t="n">
        <v>399.848921</v>
      </c>
      <c r="T32" s="33" t="n">
        <f aca="false">R32-S32</f>
        <v>-5.44444446859416E-006</v>
      </c>
      <c r="U32" s="8" t="s">
        <v>452</v>
      </c>
      <c r="V32" s="8" t="s">
        <v>453</v>
      </c>
      <c r="W32" s="34"/>
      <c r="X32" s="34"/>
    </row>
    <row r="33" customFormat="false" ht="39.55" hidden="false" customHeight="false" outlineLevel="0" collapsed="false">
      <c r="A33" s="24" t="n">
        <v>29</v>
      </c>
      <c r="B33" s="24" t="s">
        <v>450</v>
      </c>
      <c r="C33" s="24" t="s">
        <v>454</v>
      </c>
      <c r="D33" s="24" t="s">
        <v>402</v>
      </c>
      <c r="E33" s="25" t="n">
        <v>0.4</v>
      </c>
      <c r="F33" s="35" t="n">
        <v>5</v>
      </c>
      <c r="G33" s="36" t="n">
        <f aca="false">$G$32</f>
        <v>4498.3003</v>
      </c>
      <c r="H33" s="26"/>
      <c r="I33" s="26"/>
      <c r="J33" s="26"/>
      <c r="K33" s="26"/>
      <c r="L33" s="29" t="n">
        <f aca="false">E33</f>
        <v>0.4</v>
      </c>
      <c r="M33" s="30" t="n">
        <f aca="false">G33/3600/(PI()*L33^2/4)</f>
        <v>9.94342678134383</v>
      </c>
      <c r="N33" s="31" t="n">
        <f aca="false">M33*L33/'1 Исходные'!$D$7</f>
        <v>264101.640938747</v>
      </c>
      <c r="O33" s="33" t="n">
        <f aca="false">IF(N33&lt;=2000,64/N33,IF(N33&gt;=4000,0.11*('1 Исходные'!$D$10/E33+68/N33)^0.25,(1-(N33-2000)/2000)*64/2000+(N33-2000)/2000*0.11*('1 Исходные'!$D$10/E33+68/4000)^0.25))</f>
        <v>0.0165099856794089</v>
      </c>
      <c r="P33" s="29" t="n">
        <f aca="false">O33*F33/E33</f>
        <v>0.206374820992611</v>
      </c>
      <c r="Q33" s="30" t="n">
        <f aca="false">'1 Исходные'!$D$6*M33^2/2</f>
        <v>59.3230416935674</v>
      </c>
      <c r="R33" s="30" t="n">
        <f aca="false">P33*Q33</f>
        <v>12.2427821102472</v>
      </c>
      <c r="S33" s="32" t="n">
        <v>12.242782</v>
      </c>
      <c r="T33" s="33" t="n">
        <f aca="false">R33-S33</f>
        <v>1.10247166063004E-007</v>
      </c>
      <c r="U33" s="8" t="s">
        <v>403</v>
      </c>
      <c r="V33" s="8" t="s">
        <v>404</v>
      </c>
      <c r="W33" s="34"/>
      <c r="X33" s="34"/>
    </row>
    <row r="34" customFormat="false" ht="90.25" hidden="false" customHeight="false" outlineLevel="0" collapsed="false">
      <c r="A34" s="24" t="n">
        <v>30</v>
      </c>
      <c r="B34" s="24" t="s">
        <v>450</v>
      </c>
      <c r="C34" s="24" t="s">
        <v>455</v>
      </c>
      <c r="D34" s="24" t="s">
        <v>406</v>
      </c>
      <c r="E34" s="25" t="n">
        <v>0.4</v>
      </c>
      <c r="F34" s="26"/>
      <c r="G34" s="36" t="n">
        <f aca="false">$G$32</f>
        <v>4498.3003</v>
      </c>
      <c r="H34" s="26"/>
      <c r="I34" s="26"/>
      <c r="J34" s="37" t="n">
        <v>90</v>
      </c>
      <c r="K34" s="35" t="n">
        <v>1.5</v>
      </c>
      <c r="L34" s="29" t="n">
        <f aca="false">E34</f>
        <v>0.4</v>
      </c>
      <c r="M34" s="30" t="n">
        <f aca="false">G34/3600/(PI()*L34^2/4)</f>
        <v>9.94342678134383</v>
      </c>
      <c r="N34" s="31" t="n">
        <f aca="false">M34*L34/'1 Исходные'!$D$7</f>
        <v>264101.640938747</v>
      </c>
      <c r="O34" s="33" t="n">
        <f aca="false">IF(N34&lt;=2000,64/N34,IF(N34&gt;=4000,0.11*('1 Исходные'!$D$10/L34+68/N34)^0.25,(1-(N34-2000)/2000)*64/2000+(N34-2000)/2000*0.11*('1 Исходные'!$D$10/L34+68/4000)^0.25))</f>
        <v>0.0165099856794089</v>
      </c>
      <c r="P34" s="29" t="n">
        <f aca="false">X34*W34*IF(J34&gt;=180,1.4,INDEX('4 Таблицы'!$B$18:$B$28,MATCH(J34,'4 Таблицы'!$A$18:$A$28,1))+(J34-INDEX('4 Таблицы'!$A$18:$A$28,MATCH(J34,'4 Таблицы'!$A$18:$A$28,1)))*(INDEX('4 Таблицы'!$B$18:$B$28,MATCH(J34,'4 Таблицы'!$A$18:$A$28,1)+1)-INDEX('4 Таблицы'!$B$18:$B$28,MATCH(J34,'4 Таблицы'!$A$18:$A$28,1)))/(INDEX('4 Таблицы'!$A$18:$A$28,MATCH(J34,'4 Таблицы'!$A$18:$A$28,1)+1)-INDEX('4 Таблицы'!$A$18:$A$28,MATCH(J34,'4 Таблицы'!$A$18:$A$28,1))))*IF(K34&lt;=1,0.21/K34^2.5,0.21/K34^0.5)</f>
        <v>0.218265990264874</v>
      </c>
      <c r="Q34" s="30" t="n">
        <f aca="false">'1 Исходные'!$D$6*M34^2/2</f>
        <v>59.3230416935674</v>
      </c>
      <c r="R34" s="30" t="n">
        <f aca="false">P34*Q34</f>
        <v>12.9482024407709</v>
      </c>
      <c r="S34" s="32" t="n">
        <v>12.948203</v>
      </c>
      <c r="T34" s="33" t="n">
        <f aca="false">R34-S34</f>
        <v>-5.59229103913594E-007</v>
      </c>
      <c r="U34" s="8" t="s">
        <v>456</v>
      </c>
      <c r="V34" s="8" t="s">
        <v>408</v>
      </c>
      <c r="W34" s="38" t="n">
        <f aca="false">IF(K34&gt;0.7,1.3-0.29*LN(MAX(N34,10000)*0.00001),IF(K34&gt;0.55,5.45/MAX(N34,10000)^0.131,1+4400/MAX(N34,10000)))</f>
        <v>1.01836248448042</v>
      </c>
      <c r="X34" s="38" t="n">
        <f aca="false">IF(N34&lt;=32000,1,IF(N34&lt;50000,(1+MIN(1,MAX(0,LN(N34/32000)/LN(50000/32000)))*((O34*(1.8*LOG10(MAX(N34,4000))-1.64)^2)-1)),IF(N34&lt;=160000,(O34*(1.8*LOG10(MAX(N34,4000))-1.64)^2),IF(N34&lt;250000,((O34*(1.8*LOG10(MAX(N34,4000))-1.64)^2)+MIN(1,MAX(0,LN(N34/160000)/LN(250000/160000)))*((1+MIN('1 Исходные'!$D$10/L34,0.001)*1000)-(O34*(1.8*LOG10(MAX(N34,4000))-1.64)^2))),(1+MIN('1 Исходные'!$D$10/L34,0.001)*1000)))))</f>
        <v>1.25</v>
      </c>
    </row>
    <row r="35" customFormat="false" ht="26.85" hidden="false" customHeight="false" outlineLevel="0" collapsed="false">
      <c r="A35" s="24" t="n">
        <v>31</v>
      </c>
      <c r="B35" s="24" t="s">
        <v>450</v>
      </c>
      <c r="C35" s="24" t="s">
        <v>457</v>
      </c>
      <c r="D35" s="24" t="s">
        <v>398</v>
      </c>
      <c r="E35" s="25" t="n">
        <v>0.4</v>
      </c>
      <c r="F35" s="26"/>
      <c r="G35" s="36" t="n">
        <f aca="false">$G$32</f>
        <v>4498.3003</v>
      </c>
      <c r="H35" s="26"/>
      <c r="I35" s="26"/>
      <c r="J35" s="28" t="n">
        <v>1</v>
      </c>
      <c r="K35" s="26"/>
      <c r="L35" s="29" t="n">
        <f aca="false">E35</f>
        <v>0.4</v>
      </c>
      <c r="M35" s="30" t="n">
        <f aca="false">G35/3600/(PI()*L35^2/4)</f>
        <v>9.94342678134383</v>
      </c>
      <c r="N35" s="31" t="n">
        <f aca="false">M35*L35/'1 Исходные'!$D$7</f>
        <v>264101.640938747</v>
      </c>
      <c r="O35" s="26"/>
      <c r="P35" s="29" t="n">
        <f aca="false">J35</f>
        <v>1</v>
      </c>
      <c r="Q35" s="30" t="n">
        <f aca="false">'1 Исходные'!$D$6*M35^2/2</f>
        <v>59.3230416935674</v>
      </c>
      <c r="R35" s="30" t="n">
        <f aca="false">P35*Q35</f>
        <v>59.3230416935674</v>
      </c>
      <c r="S35" s="32" t="n">
        <v>59.323043</v>
      </c>
      <c r="T35" s="33" t="n">
        <f aca="false">R35-S35</f>
        <v>-1.30643257278962E-006</v>
      </c>
      <c r="U35" s="8" t="s">
        <v>458</v>
      </c>
      <c r="V35" s="8" t="s">
        <v>459</v>
      </c>
      <c r="W35" s="34"/>
      <c r="X35" s="34"/>
    </row>
    <row r="37" customFormat="false" ht="15" hidden="false" customHeight="false" outlineLevel="0" collapsed="false">
      <c r="B37" s="23" t="s">
        <v>460</v>
      </c>
    </row>
    <row r="38" customFormat="false" ht="26.85" hidden="false" customHeight="false" outlineLevel="0" collapsed="false">
      <c r="A38" s="7"/>
      <c r="B38" s="7" t="s">
        <v>461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 t="s">
        <v>462</v>
      </c>
      <c r="S38" s="7" t="s">
        <v>463</v>
      </c>
      <c r="T38" s="7" t="s">
        <v>464</v>
      </c>
      <c r="U38" s="7" t="s">
        <v>465</v>
      </c>
    </row>
    <row r="39" customFormat="false" ht="15" hidden="false" customHeight="false" outlineLevel="0" collapsed="false">
      <c r="B39" s="22" t="s">
        <v>396</v>
      </c>
      <c r="R39" s="39" t="n">
        <f aca="false">SUMIF($B$5:$B$35,B39,$R$5:$R$35)</f>
        <v>178.409122682369</v>
      </c>
      <c r="S39" s="39" t="n">
        <f aca="false">SUMIF($B$5:$B$35,B39,$S$5:$S$35)</f>
        <v>178.409125</v>
      </c>
      <c r="T39" s="39" t="n">
        <f aca="false">R39-S39</f>
        <v>-2.31763078772929E-006</v>
      </c>
    </row>
    <row r="40" customFormat="false" ht="15" hidden="false" customHeight="false" outlineLevel="0" collapsed="false">
      <c r="B40" s="22" t="s">
        <v>421</v>
      </c>
      <c r="R40" s="39" t="n">
        <f aca="false">SUMIF($B$5:$B$35,B40,$R$5:$R$35)</f>
        <v>54.6989837791823</v>
      </c>
      <c r="S40" s="39" t="n">
        <f aca="false">SUMIF($B$5:$B$35,B40,$S$5:$S$35)</f>
        <v>54.698985</v>
      </c>
      <c r="T40" s="39" t="n">
        <f aca="false">R40-S40</f>
        <v>-1.22081767983673E-006</v>
      </c>
    </row>
    <row r="41" customFormat="false" ht="15" hidden="false" customHeight="false" outlineLevel="0" collapsed="false">
      <c r="B41" s="22" t="s">
        <v>427</v>
      </c>
      <c r="R41" s="39" t="n">
        <f aca="false">SUMIF($B$5:$B$35,B41,$R$5:$R$35)</f>
        <v>233.108102794936</v>
      </c>
      <c r="S41" s="39" t="n">
        <f aca="false">SUMIF($B$5:$B$35,B41,$S$5:$S$35)</f>
        <v>233.108111</v>
      </c>
      <c r="T41" s="39" t="n">
        <f aca="false">R41-S41</f>
        <v>-8.20506392074094E-006</v>
      </c>
    </row>
    <row r="42" customFormat="false" ht="15" hidden="false" customHeight="false" outlineLevel="0" collapsed="false">
      <c r="B42" s="22" t="s">
        <v>437</v>
      </c>
      <c r="R42" s="39" t="n">
        <f aca="false">SUMIF($B$5:$B$35,B42,$R$5:$R$35)</f>
        <v>45.795790940221</v>
      </c>
      <c r="S42" s="39" t="n">
        <f aca="false">SUMIF($B$5:$B$35,B42,$S$5:$S$35)</f>
        <v>45.795793</v>
      </c>
      <c r="T42" s="39" t="n">
        <f aca="false">R42-S42</f>
        <v>-2.05977897138609E-006</v>
      </c>
    </row>
    <row r="43" customFormat="false" ht="15" hidden="false" customHeight="false" outlineLevel="0" collapsed="false">
      <c r="B43" s="22" t="s">
        <v>440</v>
      </c>
      <c r="R43" s="39" t="n">
        <f aca="false">SUMIF($B$5:$B$35,B43,$R$5:$R$35)</f>
        <v>278.903898558634</v>
      </c>
      <c r="S43" s="39" t="n">
        <f aca="false">SUMIF($B$5:$B$35,B43,$S$5:$S$35)</f>
        <v>278.903902</v>
      </c>
      <c r="T43" s="39" t="n">
        <f aca="false">R43-S43</f>
        <v>-3.44136566354791E-006</v>
      </c>
    </row>
    <row r="44" customFormat="false" ht="15" hidden="false" customHeight="false" outlineLevel="0" collapsed="false">
      <c r="B44" s="22" t="s">
        <v>447</v>
      </c>
      <c r="R44" s="39" t="n">
        <f aca="false">SUMIF($B$5:$B$35,B44,$R$5:$R$35)</f>
        <v>37.4337666612652</v>
      </c>
      <c r="S44" s="39" t="n">
        <f aca="false">SUMIF($B$5:$B$35,B44,$S$5:$S$35)</f>
        <v>37.433768</v>
      </c>
      <c r="T44" s="39" t="n">
        <f aca="false">R44-S44</f>
        <v>-1.33873477636826E-006</v>
      </c>
    </row>
    <row r="45" customFormat="false" ht="15" hidden="false" customHeight="false" outlineLevel="0" collapsed="false">
      <c r="B45" s="22" t="s">
        <v>450</v>
      </c>
      <c r="R45" s="39" t="n">
        <f aca="false">SUMIF($B$5:$B$35,B45,$R$5:$R$35)</f>
        <v>484.362941800141</v>
      </c>
      <c r="S45" s="39" t="n">
        <f aca="false">SUMIF($B$5:$B$35,B45,$S$5:$S$35)</f>
        <v>484.362949</v>
      </c>
      <c r="T45" s="39" t="n">
        <f aca="false">R45-S45</f>
        <v>-7.19985899877429E-006</v>
      </c>
    </row>
    <row r="47" customFormat="false" ht="55.2" hidden="false" customHeight="false" outlineLevel="0" collapsed="false">
      <c r="B47" s="23" t="s">
        <v>466</v>
      </c>
      <c r="R47" s="39" t="n">
        <f aca="false">R39+R40+R42+R44+R45</f>
        <v>800.700605863179</v>
      </c>
      <c r="U47" s="40" t="s">
        <v>467</v>
      </c>
    </row>
    <row r="48" customFormat="false" ht="55.2" hidden="false" customHeight="false" outlineLevel="0" collapsed="false">
      <c r="B48" s="23" t="s">
        <v>468</v>
      </c>
      <c r="R48" s="39" t="n">
        <f aca="false">R41+R42+R44+R45</f>
        <v>800.700602196563</v>
      </c>
      <c r="U48" s="40" t="s">
        <v>467</v>
      </c>
    </row>
    <row r="49" customFormat="false" ht="55.2" hidden="false" customHeight="false" outlineLevel="0" collapsed="false">
      <c r="B49" s="23" t="s">
        <v>469</v>
      </c>
      <c r="R49" s="39" t="n">
        <f aca="false">R43+R44+R45</f>
        <v>800.700607020041</v>
      </c>
      <c r="U49" s="40" t="s">
        <v>467</v>
      </c>
    </row>
    <row r="51" customFormat="false" ht="15" hidden="false" customHeight="false" outlineLevel="0" collapsed="false">
      <c r="B51" s="23" t="s">
        <v>470</v>
      </c>
      <c r="R51" s="41" t="n">
        <f aca="false">MAX(ABS(MAX(T5:T35)),ABS(MIN(T5:T35)))</f>
        <v>5.44444446859416E-006</v>
      </c>
    </row>
    <row r="52" customFormat="false" ht="15" hidden="false" customHeight="false" outlineLevel="0" collapsed="false">
      <c r="B52" s="23" t="s">
        <v>471</v>
      </c>
      <c r="R52" s="39" t="n">
        <f aca="false">MIN(M5:M35)</f>
        <v>8.48426339586032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472</v>
      </c>
    </row>
    <row r="2" customFormat="false" ht="60" hidden="false" customHeight="true" outlineLevel="0" collapsed="false">
      <c r="A2" s="10" t="s">
        <v>473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474</v>
      </c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B6" s="42" t="s">
        <v>475</v>
      </c>
      <c r="C6" s="42" t="s">
        <v>476</v>
      </c>
    </row>
    <row r="7" customFormat="false" ht="15" hidden="false" customHeight="false" outlineLevel="0" collapsed="false">
      <c r="B7" s="20" t="n">
        <v>0</v>
      </c>
      <c r="C7" s="20" t="n">
        <v>1400</v>
      </c>
    </row>
    <row r="8" customFormat="false" ht="15" hidden="false" customHeight="false" outlineLevel="0" collapsed="false">
      <c r="B8" s="20" t="n">
        <v>2000</v>
      </c>
      <c r="C8" s="20" t="n">
        <v>1300</v>
      </c>
    </row>
    <row r="9" customFormat="false" ht="15" hidden="false" customHeight="false" outlineLevel="0" collapsed="false">
      <c r="B9" s="20" t="n">
        <v>4000</v>
      </c>
      <c r="C9" s="20" t="n">
        <v>1050</v>
      </c>
    </row>
    <row r="10" customFormat="false" ht="15" hidden="false" customHeight="false" outlineLevel="0" collapsed="false">
      <c r="B10" s="20" t="n">
        <v>5000</v>
      </c>
      <c r="C10" s="20" t="n">
        <v>850</v>
      </c>
    </row>
    <row r="11" customFormat="false" ht="15" hidden="false" customHeight="false" outlineLevel="0" collapsed="false">
      <c r="B11" s="20" t="n">
        <v>6000</v>
      </c>
      <c r="C11" s="20" t="n">
        <v>550</v>
      </c>
    </row>
    <row r="12" customFormat="false" ht="15" hidden="false" customHeight="false" outlineLevel="0" collapsed="false">
      <c r="B12" s="20" t="n">
        <v>7000</v>
      </c>
      <c r="C12" s="20" t="n">
        <v>150</v>
      </c>
    </row>
    <row r="14" customFormat="false" ht="26.85" hidden="false" customHeight="false" outlineLevel="0" collapsed="false">
      <c r="A14" s="8" t="n">
        <v>1</v>
      </c>
      <c r="B14" s="8" t="s">
        <v>477</v>
      </c>
      <c r="C14" s="8" t="s">
        <v>478</v>
      </c>
      <c r="D14" s="16" t="n">
        <v>1500</v>
      </c>
      <c r="E14" s="8" t="s">
        <v>479</v>
      </c>
      <c r="F14" s="8"/>
      <c r="G14" s="8"/>
      <c r="H14" s="8" t="s">
        <v>480</v>
      </c>
    </row>
    <row r="15" customFormat="false" ht="26.85" hidden="false" customHeight="false" outlineLevel="0" collapsed="false">
      <c r="A15" s="8" t="n">
        <v>2</v>
      </c>
      <c r="B15" s="8" t="s">
        <v>481</v>
      </c>
      <c r="C15" s="8" t="s">
        <v>148</v>
      </c>
      <c r="D15" s="43" t="n">
        <v>1416.796875</v>
      </c>
      <c r="E15" s="8" t="s">
        <v>479</v>
      </c>
      <c r="F15" s="8"/>
      <c r="G15" s="8" t="s">
        <v>482</v>
      </c>
      <c r="H15" s="8" t="s">
        <v>483</v>
      </c>
    </row>
    <row r="16" customFormat="false" ht="15" hidden="false" customHeight="false" outlineLevel="0" collapsed="false">
      <c r="A16" s="8" t="n">
        <v>3</v>
      </c>
      <c r="B16" s="8" t="s">
        <v>484</v>
      </c>
      <c r="C16" s="8" t="s">
        <v>485</v>
      </c>
      <c r="D16" s="19" t="n">
        <f aca="false">'5 Потери'!$G$32</f>
        <v>4498.3003</v>
      </c>
      <c r="E16" s="8" t="s">
        <v>167</v>
      </c>
      <c r="F16" s="8" t="s">
        <v>486</v>
      </c>
      <c r="G16" s="8"/>
      <c r="H16" s="8" t="s">
        <v>91</v>
      </c>
    </row>
    <row r="17" customFormat="false" ht="15" hidden="false" customHeight="false" outlineLevel="0" collapsed="false">
      <c r="A17" s="8" t="n">
        <v>4</v>
      </c>
      <c r="B17" s="8" t="s">
        <v>487</v>
      </c>
      <c r="C17" s="8" t="s">
        <v>488</v>
      </c>
      <c r="D17" s="18" t="n">
        <f aca="false">'6 Вентилятор'!$D$15/'6 Вентилятор'!$D$14</f>
        <v>0.94453125</v>
      </c>
      <c r="E17" s="8" t="s">
        <v>123</v>
      </c>
      <c r="F17" s="8" t="s">
        <v>489</v>
      </c>
      <c r="G17" s="8"/>
      <c r="H17" s="8"/>
    </row>
    <row r="18" customFormat="false" ht="15" hidden="false" customHeight="false" outlineLevel="0" collapsed="false">
      <c r="A18" s="8" t="n">
        <v>5</v>
      </c>
      <c r="B18" s="8" t="s">
        <v>490</v>
      </c>
      <c r="C18" s="8" t="s">
        <v>491</v>
      </c>
      <c r="D18" s="18" t="n">
        <f aca="false">'6 Вентилятор'!$D$16/'6 Вентилятор'!$D$17</f>
        <v>4762.46847311828</v>
      </c>
      <c r="E18" s="8" t="s">
        <v>167</v>
      </c>
      <c r="F18" s="8" t="s">
        <v>492</v>
      </c>
      <c r="G18" s="8" t="s">
        <v>493</v>
      </c>
      <c r="H18" s="8" t="s">
        <v>125</v>
      </c>
    </row>
    <row r="19" customFormat="false" ht="26.85" hidden="false" customHeight="false" outlineLevel="0" collapsed="false">
      <c r="A19" s="8" t="n">
        <v>6</v>
      </c>
      <c r="B19" s="8" t="s">
        <v>494</v>
      </c>
      <c r="C19" s="8" t="s">
        <v>495</v>
      </c>
      <c r="D19" s="18" t="n">
        <f aca="false">INDEX('6 Вентилятор'!$C$7:$C$12,MATCH('6 Вентилятор'!$D$18,'6 Вентилятор'!$B$7:$B$12,1))+('6 Вентилятор'!$D$18-INDEX('6 Вентилятор'!$B$7:$B$12,MATCH('6 Вентилятор'!$D$18,'6 Вентилятор'!$B$7:$B$12,1)))*(INDEX('6 Вентилятор'!$C$7:$C$12,MATCH('6 Вентилятор'!$D$18,'6 Вентилятор'!$B$7:$B$12,1)+1)-INDEX('6 Вентилятор'!$C$7:$C$12,MATCH('6 Вентилятор'!$D$18,'6 Вентилятор'!$B$7:$B$12,1)))/(INDEX('6 Вентилятор'!$B$7:$B$12,MATCH('6 Вентилятор'!$D$18,'6 Вентилятор'!$B$7:$B$12,1)+1)-INDEX('6 Вентилятор'!$B$7:$B$12,MATCH('6 Вентилятор'!$D$18,'6 Вентилятор'!$B$7:$B$12,1)))</f>
        <v>897.506305376344</v>
      </c>
      <c r="E19" s="8" t="s">
        <v>496</v>
      </c>
      <c r="F19" s="8" t="s">
        <v>497</v>
      </c>
      <c r="G19" s="8"/>
      <c r="H19" s="8"/>
    </row>
    <row r="20" customFormat="false" ht="15" hidden="false" customHeight="false" outlineLevel="0" collapsed="false">
      <c r="A20" s="8" t="n">
        <v>7</v>
      </c>
      <c r="B20" s="8" t="s">
        <v>498</v>
      </c>
      <c r="C20" s="8" t="s">
        <v>499</v>
      </c>
      <c r="D20" s="18" t="n">
        <f aca="false">'6 Вентилятор'!$D$19*'6 Вентилятор'!$D$17^2</f>
        <v>800.700631072266</v>
      </c>
      <c r="E20" s="8" t="s">
        <v>496</v>
      </c>
      <c r="F20" s="8" t="s">
        <v>500</v>
      </c>
      <c r="G20" s="8" t="s">
        <v>501</v>
      </c>
      <c r="H20" s="8" t="s">
        <v>125</v>
      </c>
    </row>
    <row r="21" customFormat="false" ht="15" hidden="false" customHeight="false" outlineLevel="0" collapsed="false">
      <c r="A21" s="11" t="s">
        <v>502</v>
      </c>
      <c r="B21" s="11"/>
      <c r="C21" s="11"/>
      <c r="D21" s="11"/>
      <c r="E21" s="11"/>
      <c r="F21" s="11"/>
      <c r="G21" s="11"/>
      <c r="H21" s="11"/>
    </row>
    <row r="22" customFormat="false" ht="26.85" hidden="false" customHeight="false" outlineLevel="0" collapsed="false">
      <c r="A22" s="8" t="n">
        <v>8</v>
      </c>
      <c r="B22" s="8" t="s">
        <v>503</v>
      </c>
      <c r="C22" s="8"/>
      <c r="D22" s="18" t="n">
        <f aca="false">'5 Потери'!$R$47-'6 Вентилятор'!$D$20</f>
        <v>-2.52090870844768E-005</v>
      </c>
      <c r="E22" s="8" t="s">
        <v>496</v>
      </c>
      <c r="F22" s="8" t="s">
        <v>504</v>
      </c>
      <c r="G22" s="8" t="s">
        <v>505</v>
      </c>
      <c r="H22" s="8" t="s">
        <v>506</v>
      </c>
    </row>
    <row r="23" customFormat="false" ht="26.85" hidden="false" customHeight="false" outlineLevel="0" collapsed="false">
      <c r="A23" s="8" t="n">
        <v>9</v>
      </c>
      <c r="B23" s="8" t="s">
        <v>507</v>
      </c>
      <c r="C23" s="8"/>
      <c r="D23" s="18" t="n">
        <f aca="false">'5 Потери'!$R$48-'6 Вентилятор'!$D$20</f>
        <v>-2.8875702582809E-005</v>
      </c>
      <c r="E23" s="8" t="s">
        <v>496</v>
      </c>
      <c r="F23" s="8"/>
      <c r="G23" s="8"/>
      <c r="H23" s="8"/>
    </row>
    <row r="24" customFormat="false" ht="26.85" hidden="false" customHeight="false" outlineLevel="0" collapsed="false">
      <c r="A24" s="8" t="n">
        <v>10</v>
      </c>
      <c r="B24" s="8" t="s">
        <v>508</v>
      </c>
      <c r="C24" s="8"/>
      <c r="D24" s="18" t="n">
        <f aca="false">'5 Потери'!$R$49-'6 Вентилятор'!$D$20</f>
        <v>-2.40522252852315E-005</v>
      </c>
      <c r="E24" s="8" t="s">
        <v>496</v>
      </c>
      <c r="F24" s="8"/>
      <c r="G24" s="8"/>
      <c r="H24" s="8"/>
    </row>
    <row r="25" customFormat="false" ht="15" hidden="false" customHeight="false" outlineLevel="0" collapsed="false">
      <c r="A25" s="11" t="s">
        <v>509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8" t="n">
        <v>11</v>
      </c>
      <c r="B26" s="8" t="s">
        <v>510</v>
      </c>
      <c r="C26" s="8" t="s">
        <v>511</v>
      </c>
      <c r="D26" s="17" t="n">
        <v>0.65</v>
      </c>
      <c r="E26" s="8" t="s">
        <v>123</v>
      </c>
      <c r="F26" s="8"/>
      <c r="G26" s="8" t="s">
        <v>512</v>
      </c>
      <c r="H26" s="8" t="s">
        <v>224</v>
      </c>
    </row>
    <row r="27" customFormat="false" ht="15" hidden="false" customHeight="false" outlineLevel="0" collapsed="false">
      <c r="A27" s="8" t="n">
        <v>12</v>
      </c>
      <c r="B27" s="8" t="s">
        <v>513</v>
      </c>
      <c r="C27" s="8" t="s">
        <v>514</v>
      </c>
      <c r="D27" s="18" t="n">
        <f aca="false">'6 Вентилятор'!$D$16/3600*'6 Вентилятор'!$D$20/'6 Вентилятор'!$D$26</f>
        <v>1539.22730297545</v>
      </c>
      <c r="E27" s="8" t="s">
        <v>515</v>
      </c>
      <c r="F27" s="8" t="s">
        <v>516</v>
      </c>
      <c r="G27" s="8"/>
      <c r="H27" s="8" t="s">
        <v>517</v>
      </c>
    </row>
    <row r="28" customFormat="false" ht="26.85" hidden="false" customHeight="false" outlineLevel="0" collapsed="false">
      <c r="A28" s="8" t="n">
        <v>13</v>
      </c>
      <c r="B28" s="8" t="s">
        <v>518</v>
      </c>
      <c r="C28" s="8" t="s">
        <v>519</v>
      </c>
      <c r="D28" s="16" t="n">
        <v>2200</v>
      </c>
      <c r="E28" s="8" t="s">
        <v>515</v>
      </c>
      <c r="F28" s="8"/>
      <c r="G28" s="8"/>
      <c r="H28" s="8" t="s">
        <v>520</v>
      </c>
    </row>
    <row r="29" customFormat="false" ht="26.85" hidden="false" customHeight="false" outlineLevel="0" collapsed="false">
      <c r="A29" s="8" t="n">
        <v>14</v>
      </c>
      <c r="B29" s="8" t="s">
        <v>521</v>
      </c>
      <c r="C29" s="8" t="s">
        <v>522</v>
      </c>
      <c r="D29" s="12" t="n">
        <v>0.867</v>
      </c>
      <c r="E29" s="8" t="s">
        <v>123</v>
      </c>
      <c r="F29" s="8"/>
      <c r="G29" s="8"/>
      <c r="H29" s="8" t="s">
        <v>523</v>
      </c>
    </row>
    <row r="30" customFormat="false" ht="15" hidden="false" customHeight="false" outlineLevel="0" collapsed="false">
      <c r="A30" s="8" t="n">
        <v>15</v>
      </c>
      <c r="B30" s="8" t="s">
        <v>524</v>
      </c>
      <c r="C30" s="8" t="s">
        <v>525</v>
      </c>
      <c r="D30" s="18" t="n">
        <f aca="false">'6 Вентилятор'!$D$27/'6 Вентилятор'!$D$28</f>
        <v>0.699648774079752</v>
      </c>
      <c r="E30" s="8" t="s">
        <v>123</v>
      </c>
      <c r="F30" s="8" t="s">
        <v>526</v>
      </c>
      <c r="G30" s="8"/>
      <c r="H30" s="8"/>
    </row>
    <row r="31" customFormat="false" ht="26.85" hidden="false" customHeight="false" outlineLevel="0" collapsed="false">
      <c r="A31" s="8" t="n">
        <v>16</v>
      </c>
      <c r="B31" s="8" t="s">
        <v>527</v>
      </c>
      <c r="C31" s="8" t="s">
        <v>528</v>
      </c>
      <c r="D31" s="17" t="n">
        <v>0.5</v>
      </c>
      <c r="E31" s="8" t="s">
        <v>123</v>
      </c>
      <c r="F31" s="8"/>
      <c r="G31" s="8" t="s">
        <v>529</v>
      </c>
      <c r="H31" s="8" t="s">
        <v>530</v>
      </c>
    </row>
    <row r="32" customFormat="false" ht="26.85" hidden="false" customHeight="false" outlineLevel="0" collapsed="false">
      <c r="A32" s="8" t="n">
        <v>17</v>
      </c>
      <c r="B32" s="8" t="s">
        <v>531</v>
      </c>
      <c r="C32" s="8" t="s">
        <v>532</v>
      </c>
      <c r="D32" s="18" t="n">
        <f aca="false">'6 Вентилятор'!$D$30/('6 Вентилятор'!$D$30+(1/'6 Вентилятор'!$D$29-1)*('6 Вентилятор'!$D$31+'6 Вентилятор'!$D$30^2)/(1+'6 Вентилятор'!$D$31))</f>
        <v>0.873639087888493</v>
      </c>
      <c r="E32" s="8" t="s">
        <v>123</v>
      </c>
      <c r="F32" s="8" t="s">
        <v>533</v>
      </c>
      <c r="G32" s="8" t="s">
        <v>534</v>
      </c>
      <c r="H32" s="8" t="s">
        <v>535</v>
      </c>
    </row>
    <row r="33" customFormat="false" ht="39.55" hidden="false" customHeight="false" outlineLevel="0" collapsed="false">
      <c r="A33" s="8" t="n">
        <v>18</v>
      </c>
      <c r="B33" s="8" t="s">
        <v>536</v>
      </c>
      <c r="C33" s="8" t="s">
        <v>537</v>
      </c>
      <c r="D33" s="18" t="n">
        <f aca="false">IF('6 Вентилятор'!$D$30&lt;=0.016,0.35,IF('6 Вентилятор'!$D$30&gt;=1,0.95,INDEX('6 Вентилятор'!$C$36:$I$36,MATCH('6 Вентилятор'!$D$30,'6 Вентилятор'!$C$35:$I$35,1))+('6 Вентилятор'!$D$30-INDEX('6 Вентилятор'!$C$35:$I$35,MATCH('6 Вентилятор'!$D$30,'6 Вентилятор'!$C$35:$I$35,1)))*(INDEX('6 Вентилятор'!$C$36:$I$36,MATCH('6 Вентилятор'!$D$30,'6 Вентилятор'!$C$35:$I$35,1)+1)-INDEX('6 Вентилятор'!$C$36:$I$36,MATCH('6 Вентилятор'!$D$30,'6 Вентилятор'!$C$35:$I$35,1)))/(INDEX('6 Вентилятор'!$C$35:$I$35,MATCH('6 Вентилятор'!$D$30,'6 Вентилятор'!$C$35:$I$35,1)+1)-INDEX('6 Вентилятор'!$C$35:$I$35,MATCH('6 Вентилятор'!$D$30,'6 Вентилятор'!$C$35:$I$35,1)))))</f>
        <v>0.93597190192638</v>
      </c>
      <c r="E33" s="8" t="s">
        <v>123</v>
      </c>
      <c r="F33" s="8" t="s">
        <v>538</v>
      </c>
      <c r="G33" s="8" t="s">
        <v>539</v>
      </c>
      <c r="H33" s="8" t="s">
        <v>224</v>
      </c>
    </row>
    <row r="35" customFormat="false" ht="15" hidden="false" customHeight="false" outlineLevel="0" collapsed="false">
      <c r="B35" s="23" t="s">
        <v>540</v>
      </c>
      <c r="C35" s="44" t="n">
        <v>0.016</v>
      </c>
      <c r="D35" s="44" t="n">
        <v>0.125</v>
      </c>
      <c r="E35" s="44" t="n">
        <v>0.25</v>
      </c>
      <c r="F35" s="44" t="n">
        <v>0.42</v>
      </c>
      <c r="G35" s="44" t="n">
        <v>0.5</v>
      </c>
      <c r="H35" s="44" t="n">
        <v>0.75</v>
      </c>
      <c r="I35" s="44" t="n">
        <v>1</v>
      </c>
    </row>
    <row r="36" customFormat="false" ht="15" hidden="false" customHeight="false" outlineLevel="0" collapsed="false">
      <c r="C36" s="44" t="n">
        <v>0.35</v>
      </c>
      <c r="D36" s="44" t="n">
        <v>0.8</v>
      </c>
      <c r="E36" s="44" t="n">
        <v>0.88</v>
      </c>
      <c r="F36" s="44" t="n">
        <v>0.91</v>
      </c>
      <c r="G36" s="44" t="n">
        <v>0.92</v>
      </c>
      <c r="H36" s="44" t="n">
        <v>0.94</v>
      </c>
      <c r="I36" s="44" t="n">
        <v>0.95</v>
      </c>
    </row>
    <row r="38" customFormat="false" ht="15" hidden="false" customHeight="false" outlineLevel="0" collapsed="false">
      <c r="A38" s="8" t="n">
        <v>19</v>
      </c>
      <c r="B38" s="8" t="s">
        <v>541</v>
      </c>
      <c r="C38" s="8" t="s">
        <v>542</v>
      </c>
      <c r="D38" s="18" t="n">
        <f aca="false">'6 Вентилятор'!$D$27/('6 Вентилятор'!$D$32*'6 Вентилятор'!$D$33)</f>
        <v>1882.38255880803</v>
      </c>
      <c r="E38" s="8" t="s">
        <v>515</v>
      </c>
      <c r="F38" s="8" t="s">
        <v>543</v>
      </c>
      <c r="G38" s="8" t="s">
        <v>544</v>
      </c>
      <c r="H38" s="8"/>
    </row>
  </sheetData>
  <mergeCells count="4">
    <mergeCell ref="A2:H2"/>
    <mergeCell ref="A5:H5"/>
    <mergeCell ref="A21:H2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545</v>
      </c>
    </row>
    <row r="2" customFormat="false" ht="60" hidden="false" customHeight="true" outlineLevel="0" collapsed="false">
      <c r="A2" s="10" t="s">
        <v>546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8" t="n">
        <v>1</v>
      </c>
      <c r="B5" s="8" t="s">
        <v>547</v>
      </c>
      <c r="C5" s="8" t="s">
        <v>548</v>
      </c>
      <c r="D5" s="18" t="n">
        <f aca="false">'1 Исходные'!$D$31-'1 Исходные'!$D$32</f>
        <v>19.7</v>
      </c>
      <c r="E5" s="8" t="s">
        <v>211</v>
      </c>
      <c r="F5" s="8" t="s">
        <v>549</v>
      </c>
      <c r="G5" s="8"/>
      <c r="H5" s="8" t="s">
        <v>550</v>
      </c>
    </row>
    <row r="6" customFormat="false" ht="15" hidden="false" customHeight="false" outlineLevel="0" collapsed="false">
      <c r="A6" s="11" t="s">
        <v>551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8" t="n">
        <v>2</v>
      </c>
      <c r="B7" s="8" t="s">
        <v>552</v>
      </c>
      <c r="C7" s="8" t="s">
        <v>303</v>
      </c>
      <c r="D7" s="18" t="n">
        <f aca="false">'3 СП 60'!$D$6+'3 СП 60'!$D$11</f>
        <v>12601.4486494975</v>
      </c>
      <c r="E7" s="8" t="s">
        <v>167</v>
      </c>
      <c r="F7" s="8" t="s">
        <v>553</v>
      </c>
      <c r="G7" s="8" t="s">
        <v>554</v>
      </c>
      <c r="H7" s="8" t="s">
        <v>42</v>
      </c>
    </row>
    <row r="8" customFormat="false" ht="26.85" hidden="false" customHeight="false" outlineLevel="0" collapsed="false">
      <c r="A8" s="8" t="n">
        <v>3</v>
      </c>
      <c r="B8" s="8" t="s">
        <v>555</v>
      </c>
      <c r="C8" s="8" t="s">
        <v>556</v>
      </c>
      <c r="D8" s="18" t="n">
        <f aca="false">'1 Исходные'!$D$6*'1 Исходные'!$D$8*'7 Тепло'!$D$7/3600*'7 Тепло'!$D$5</f>
        <v>83.1632603623586</v>
      </c>
      <c r="E8" s="8" t="s">
        <v>557</v>
      </c>
      <c r="F8" s="8" t="s">
        <v>558</v>
      </c>
      <c r="G8" s="8" t="s">
        <v>559</v>
      </c>
      <c r="H8" s="8" t="s">
        <v>560</v>
      </c>
    </row>
    <row r="9" customFormat="false" ht="15" hidden="false" customHeight="false" outlineLevel="0" collapsed="false">
      <c r="A9" s="8" t="n">
        <v>4</v>
      </c>
      <c r="B9" s="8" t="s">
        <v>561</v>
      </c>
      <c r="C9" s="8" t="s">
        <v>562</v>
      </c>
      <c r="D9" s="18" t="n">
        <f aca="false">'7 Тепло'!$D$8*'1 Исходные'!$D$34</f>
        <v>665.306082898869</v>
      </c>
      <c r="E9" s="8" t="s">
        <v>563</v>
      </c>
      <c r="F9" s="8" t="s">
        <v>564</v>
      </c>
      <c r="G9" s="8" t="s">
        <v>565</v>
      </c>
      <c r="H9" s="8"/>
    </row>
    <row r="10" customFormat="false" ht="26.85" hidden="false" customHeight="false" outlineLevel="0" collapsed="false">
      <c r="A10" s="8" t="n">
        <v>5</v>
      </c>
      <c r="B10" s="8" t="s">
        <v>566</v>
      </c>
      <c r="C10" s="8" t="s">
        <v>567</v>
      </c>
      <c r="D10" s="18" t="n">
        <f aca="false">'7 Тепло'!$D$9*'1 Исходные'!$D$33/1000</f>
        <v>134.391828745572</v>
      </c>
      <c r="E10" s="8" t="s">
        <v>568</v>
      </c>
      <c r="F10" s="8" t="s">
        <v>569</v>
      </c>
      <c r="G10" s="8"/>
      <c r="H10" s="8"/>
    </row>
    <row r="11" customFormat="false" ht="15" hidden="false" customHeight="false" outlineLevel="0" collapsed="false">
      <c r="A11" s="8" t="n">
        <v>6</v>
      </c>
      <c r="B11" s="8" t="s">
        <v>570</v>
      </c>
      <c r="C11" s="8"/>
      <c r="D11" s="19" t="n">
        <f aca="false">'7 Тепло'!$D$10/1.163</f>
        <v>115.556172610122</v>
      </c>
      <c r="E11" s="8" t="s">
        <v>571</v>
      </c>
      <c r="F11" s="8" t="s">
        <v>572</v>
      </c>
      <c r="G11" s="8" t="s">
        <v>573</v>
      </c>
      <c r="H11" s="8"/>
    </row>
    <row r="12" customFormat="false" ht="15" hidden="false" customHeight="false" outlineLevel="0" collapsed="false">
      <c r="A12" s="11" t="s">
        <v>574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8" t="n">
        <v>7</v>
      </c>
      <c r="B13" s="8" t="s">
        <v>575</v>
      </c>
      <c r="C13" s="8" t="s">
        <v>576</v>
      </c>
      <c r="D13" s="18" t="n">
        <f aca="false">'1 Исходные'!$D$6*'1 Исходные'!$D$8*'3 СП 60'!$D$15/3600*'7 Тепло'!$D$5*'1 Исходные'!$D$34</f>
        <v>237.582</v>
      </c>
      <c r="E13" s="8" t="s">
        <v>563</v>
      </c>
      <c r="F13" s="8"/>
      <c r="G13" s="8" t="s">
        <v>577</v>
      </c>
      <c r="H13" s="8"/>
    </row>
    <row r="14" customFormat="false" ht="15" hidden="false" customHeight="false" outlineLevel="0" collapsed="false">
      <c r="A14" s="11" t="s">
        <v>578</v>
      </c>
      <c r="B14" s="11"/>
      <c r="C14" s="11"/>
      <c r="D14" s="11"/>
      <c r="E14" s="11"/>
      <c r="F14" s="11"/>
      <c r="G14" s="11"/>
      <c r="H14" s="11"/>
    </row>
    <row r="15" customFormat="false" ht="26.85" hidden="false" customHeight="false" outlineLevel="0" collapsed="false">
      <c r="A15" s="8" t="n">
        <v>8</v>
      </c>
      <c r="B15" s="8" t="s">
        <v>579</v>
      </c>
      <c r="C15" s="8" t="s">
        <v>580</v>
      </c>
      <c r="D15" s="43" t="n">
        <v>8101.72995</v>
      </c>
      <c r="E15" s="8" t="s">
        <v>167</v>
      </c>
      <c r="F15" s="8"/>
      <c r="G15" s="8" t="s">
        <v>581</v>
      </c>
      <c r="H15" s="8" t="s">
        <v>582</v>
      </c>
    </row>
    <row r="16" customFormat="false" ht="39.55" hidden="false" customHeight="false" outlineLevel="0" collapsed="false">
      <c r="A16" s="8" t="n">
        <v>9</v>
      </c>
      <c r="B16" s="8" t="s">
        <v>583</v>
      </c>
      <c r="C16" s="8" t="s">
        <v>584</v>
      </c>
      <c r="D16" s="43" t="n">
        <v>1872.016109</v>
      </c>
      <c r="E16" s="8" t="s">
        <v>167</v>
      </c>
      <c r="F16" s="8"/>
      <c r="G16" s="8" t="s">
        <v>585</v>
      </c>
      <c r="H16" s="8" t="s">
        <v>582</v>
      </c>
    </row>
    <row r="17" customFormat="false" ht="26.85" hidden="false" customHeight="false" outlineLevel="0" collapsed="false">
      <c r="A17" s="8" t="n">
        <v>10</v>
      </c>
      <c r="B17" s="8" t="s">
        <v>586</v>
      </c>
      <c r="C17" s="8" t="s">
        <v>584</v>
      </c>
      <c r="D17" s="43" t="n">
        <v>1727.489714</v>
      </c>
      <c r="E17" s="8" t="s">
        <v>167</v>
      </c>
      <c r="F17" s="8"/>
      <c r="G17" s="8" t="s">
        <v>587</v>
      </c>
      <c r="H17" s="8" t="s">
        <v>582</v>
      </c>
    </row>
    <row r="18" customFormat="false" ht="39.55" hidden="false" customHeight="false" outlineLevel="0" collapsed="false">
      <c r="A18" s="8" t="n">
        <v>11</v>
      </c>
      <c r="B18" s="8" t="s">
        <v>588</v>
      </c>
      <c r="C18" s="8" t="s">
        <v>562</v>
      </c>
      <c r="D18" s="18" t="n">
        <f aca="false">'1 Исходные'!$D$6*'1 Исходные'!$D$8*('7 Тепло'!$D$15+'7 Тепло'!$D$16)/3600*'7 Тепло'!$D$5*'1 Исходные'!$D$34</f>
        <v>526.573896930964</v>
      </c>
      <c r="E18" s="8" t="s">
        <v>563</v>
      </c>
      <c r="F18" s="8" t="s">
        <v>589</v>
      </c>
      <c r="G18" s="8" t="s">
        <v>590</v>
      </c>
      <c r="H18" s="8" t="s">
        <v>591</v>
      </c>
    </row>
    <row r="19" customFormat="false" ht="26.85" hidden="false" customHeight="false" outlineLevel="0" collapsed="false">
      <c r="A19" s="8" t="n">
        <v>12</v>
      </c>
      <c r="B19" s="8" t="s">
        <v>592</v>
      </c>
      <c r="C19" s="8" t="s">
        <v>562</v>
      </c>
      <c r="D19" s="18" t="n">
        <f aca="false">'1 Исходные'!$D$6*'1 Исходные'!$D$8*('7 Тепло'!$D$15+'7 Тепло'!$D$17)/3600*'7 Тепло'!$D$5*'1 Исходные'!$D$34</f>
        <v>518.943481380544</v>
      </c>
      <c r="E19" s="8" t="s">
        <v>563</v>
      </c>
      <c r="F19" s="8" t="s">
        <v>593</v>
      </c>
      <c r="G19" s="8"/>
      <c r="H19" s="8"/>
    </row>
    <row r="20" customFormat="false" ht="15" hidden="false" customHeight="false" outlineLevel="0" collapsed="false">
      <c r="A20" s="11" t="s">
        <v>594</v>
      </c>
      <c r="B20" s="11"/>
      <c r="C20" s="11"/>
      <c r="D20" s="11"/>
      <c r="E20" s="11"/>
      <c r="F20" s="11"/>
      <c r="G20" s="11"/>
      <c r="H20" s="11"/>
    </row>
    <row r="21" customFormat="false" ht="39.55" hidden="false" customHeight="false" outlineLevel="0" collapsed="false">
      <c r="A21" s="8" t="n">
        <v>13</v>
      </c>
      <c r="B21" s="8" t="s">
        <v>595</v>
      </c>
      <c r="C21" s="8" t="s">
        <v>596</v>
      </c>
      <c r="D21" s="43" t="n">
        <v>1462.102749</v>
      </c>
      <c r="E21" s="8" t="s">
        <v>479</v>
      </c>
      <c r="F21" s="8" t="s">
        <v>597</v>
      </c>
      <c r="G21" s="8" t="s">
        <v>598</v>
      </c>
      <c r="H21" s="8" t="s">
        <v>599</v>
      </c>
    </row>
    <row r="22" customFormat="false" ht="26.85" hidden="false" customHeight="false" outlineLevel="0" collapsed="false">
      <c r="A22" s="8" t="n">
        <v>14</v>
      </c>
      <c r="B22" s="8" t="s">
        <v>600</v>
      </c>
      <c r="C22" s="8" t="s">
        <v>499</v>
      </c>
      <c r="D22" s="43" t="n">
        <v>880.787279</v>
      </c>
      <c r="E22" s="8" t="s">
        <v>496</v>
      </c>
      <c r="F22" s="8"/>
      <c r="G22" s="8" t="s">
        <v>601</v>
      </c>
      <c r="H22" s="8" t="s">
        <v>483</v>
      </c>
    </row>
    <row r="23" customFormat="false" ht="26.85" hidden="false" customHeight="false" outlineLevel="0" collapsed="false">
      <c r="A23" s="8" t="n">
        <v>15</v>
      </c>
      <c r="B23" s="8" t="s">
        <v>602</v>
      </c>
      <c r="C23" s="8" t="s">
        <v>542</v>
      </c>
      <c r="D23" s="43" t="n">
        <v>2060.948012</v>
      </c>
      <c r="E23" s="8" t="s">
        <v>515</v>
      </c>
      <c r="F23" s="8"/>
      <c r="G23" s="8" t="s">
        <v>603</v>
      </c>
      <c r="H23" s="8" t="s">
        <v>483</v>
      </c>
    </row>
    <row r="24" customFormat="false" ht="26.85" hidden="false" customHeight="false" outlineLevel="0" collapsed="false">
      <c r="A24" s="8" t="n">
        <v>16</v>
      </c>
      <c r="B24" s="8" t="s">
        <v>604</v>
      </c>
      <c r="C24" s="8" t="s">
        <v>605</v>
      </c>
      <c r="D24" s="18" t="n">
        <f aca="false">'7 Тепло'!$D$23*'1 Исходные'!$D$34/1000</f>
        <v>16.487584096</v>
      </c>
      <c r="E24" s="8" t="s">
        <v>563</v>
      </c>
      <c r="F24" s="8" t="s">
        <v>606</v>
      </c>
      <c r="G24" s="8" t="s">
        <v>607</v>
      </c>
      <c r="H24" s="8" t="s">
        <v>483</v>
      </c>
    </row>
    <row r="25" customFormat="false" ht="30" hidden="false" customHeight="true" outlineLevel="0" collapsed="false">
      <c r="B25" s="10" t="s">
        <v>608</v>
      </c>
      <c r="C25" s="10"/>
      <c r="D25" s="10"/>
      <c r="E25" s="10"/>
      <c r="F25" s="10"/>
      <c r="G25" s="10"/>
      <c r="H25" s="10"/>
    </row>
  </sheetData>
  <mergeCells count="6">
    <mergeCell ref="A2:H2"/>
    <mergeCell ref="A6:H6"/>
    <mergeCell ref="A12:H12"/>
    <mergeCell ref="A14:H14"/>
    <mergeCell ref="A20:H20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6.15" hidden="false" customHeight="false" outlineLevel="0" collapsed="false">
      <c r="A1" s="5" t="s">
        <v>609</v>
      </c>
    </row>
    <row r="2" customFormat="false" ht="15" hidden="false" customHeight="false" outlineLevel="0" collapsed="false">
      <c r="A2" s="6" t="s">
        <v>610</v>
      </c>
    </row>
    <row r="4" customFormat="false" ht="26.85" hidden="false" customHeight="false" outlineLevel="0" collapsed="false">
      <c r="A4" s="7" t="s">
        <v>112</v>
      </c>
      <c r="B4" s="7" t="s">
        <v>611</v>
      </c>
      <c r="C4" s="7" t="s">
        <v>612</v>
      </c>
      <c r="D4" s="7" t="s">
        <v>613</v>
      </c>
      <c r="E4" s="7" t="s">
        <v>614</v>
      </c>
    </row>
    <row r="5" customFormat="false" ht="15" hidden="false" customHeight="false" outlineLevel="0" collapsed="false">
      <c r="A5" s="22" t="s">
        <v>615</v>
      </c>
      <c r="B5" s="45" t="n">
        <f aca="false">'2 Выделения'!$D$6</f>
        <v>9.7765625</v>
      </c>
      <c r="C5" s="46" t="n">
        <v>9.7765625</v>
      </c>
      <c r="D5" s="47" t="n">
        <f aca="false">ABS(B5-C5)/ABS(C5)</f>
        <v>0</v>
      </c>
      <c r="E5" s="21" t="str">
        <f aca="false">IF(D5&lt;0.001,"ОК","ПРОВЕРИТЬ")</f>
        <v>ОК</v>
      </c>
    </row>
    <row r="6" customFormat="false" ht="15" hidden="false" customHeight="false" outlineLevel="0" collapsed="false">
      <c r="A6" s="22" t="s">
        <v>616</v>
      </c>
      <c r="B6" s="45" t="n">
        <f aca="false">'2 Выделения'!$D$7</f>
        <v>2.1997265625</v>
      </c>
      <c r="C6" s="46" t="n">
        <v>2.1997265625</v>
      </c>
      <c r="D6" s="47" t="n">
        <f aca="false">ABS(B6-C6)/ABS(C6)</f>
        <v>0</v>
      </c>
      <c r="E6" s="21" t="str">
        <f aca="false">IF(D6&lt;0.001,"ОК","ПРОВЕРИТЬ")</f>
        <v>ОК</v>
      </c>
    </row>
    <row r="7" customFormat="false" ht="15" hidden="false" customHeight="false" outlineLevel="0" collapsed="false">
      <c r="A7" s="22" t="s">
        <v>617</v>
      </c>
      <c r="B7" s="45" t="n">
        <f aca="false">'3 СП 60'!$D$10</f>
        <v>12601.4486494975</v>
      </c>
      <c r="C7" s="46" t="n">
        <v>12601.4486494975</v>
      </c>
      <c r="D7" s="47" t="n">
        <f aca="false">ABS(B7-C7)/ABS(C7)</f>
        <v>0</v>
      </c>
      <c r="E7" s="21" t="str">
        <f aca="false">IF(D7&lt;0.001,"ОК","ПРОВЕРИТЬ")</f>
        <v>ОК</v>
      </c>
    </row>
    <row r="8" customFormat="false" ht="15" hidden="false" customHeight="false" outlineLevel="0" collapsed="false">
      <c r="A8" s="22" t="s">
        <v>618</v>
      </c>
      <c r="B8" s="45" t="n">
        <f aca="false">'3 СП 60'!$D$11</f>
        <v>8101.44864949748</v>
      </c>
      <c r="C8" s="46" t="n">
        <v>8101.44864949748</v>
      </c>
      <c r="D8" s="47" t="n">
        <f aca="false">ABS(B8-C8)/ABS(C8)</f>
        <v>0</v>
      </c>
      <c r="E8" s="21" t="str">
        <f aca="false">IF(D8&lt;0.001,"ОК","ПРОВЕРИТЬ")</f>
        <v>ОК</v>
      </c>
    </row>
    <row r="9" customFormat="false" ht="15" hidden="false" customHeight="false" outlineLevel="0" collapsed="false">
      <c r="A9" s="22" t="s">
        <v>619</v>
      </c>
      <c r="B9" s="45" t="n">
        <f aca="false">'6 Вентилятор'!$D$16</f>
        <v>4498.3003</v>
      </c>
      <c r="C9" s="46" t="n">
        <v>4498.30035789856</v>
      </c>
      <c r="D9" s="47" t="n">
        <f aca="false">ABS(B9-C9)/ABS(C9)</f>
        <v>1.28712087157415E-008</v>
      </c>
      <c r="E9" s="21" t="str">
        <f aca="false">IF(D9&lt;0.001,"ОК","ПРОВЕРИТЬ")</f>
        <v>ОК</v>
      </c>
    </row>
    <row r="10" customFormat="false" ht="15" hidden="false" customHeight="false" outlineLevel="0" collapsed="false">
      <c r="A10" s="22" t="s">
        <v>620</v>
      </c>
      <c r="B10" s="45" t="n">
        <f aca="false">'6 Вентилятор'!$D$20</f>
        <v>800.700631072266</v>
      </c>
      <c r="C10" s="46" t="n">
        <v>800.700620134865</v>
      </c>
      <c r="D10" s="47" t="n">
        <f aca="false">ABS(B10-C10)/ABS(C10)</f>
        <v>1.36597878329741E-008</v>
      </c>
      <c r="E10" s="21" t="str">
        <f aca="false">IF(D10&lt;0.001,"ОК","ПРОВЕРИТЬ")</f>
        <v>ОК</v>
      </c>
    </row>
    <row r="11" customFormat="false" ht="15" hidden="false" customHeight="false" outlineLevel="0" collapsed="false">
      <c r="A11" s="22" t="s">
        <v>621</v>
      </c>
      <c r="B11" s="45" t="n">
        <f aca="false">'6 Вентилятор'!$D$27</f>
        <v>1539.22730297545</v>
      </c>
      <c r="C11" s="46" t="n">
        <v>1539.22730176165</v>
      </c>
      <c r="D11" s="47" t="n">
        <f aca="false">ABS(B11-C11)/ABS(C11)</f>
        <v>7.88578987181591E-010</v>
      </c>
      <c r="E11" s="21" t="str">
        <f aca="false">IF(D11&lt;0.001,"ОК","ПРОВЕРИТЬ")</f>
        <v>ОК</v>
      </c>
    </row>
    <row r="12" customFormat="false" ht="15" hidden="false" customHeight="false" outlineLevel="0" collapsed="false">
      <c r="A12" s="22" t="s">
        <v>622</v>
      </c>
      <c r="B12" s="45" t="n">
        <f aca="false">'6 Вентилятор'!$D$32</f>
        <v>0.873639087888493</v>
      </c>
      <c r="C12" s="46" t="n">
        <v>0.87363908788757</v>
      </c>
      <c r="D12" s="47" t="n">
        <f aca="false">ABS(B12-C12)/ABS(C12)</f>
        <v>1.05654547223297E-012</v>
      </c>
      <c r="E12" s="21" t="str">
        <f aca="false">IF(D12&lt;0.001,"ОК","ПРОВЕРИТЬ")</f>
        <v>ОК</v>
      </c>
    </row>
    <row r="13" customFormat="false" ht="15" hidden="false" customHeight="false" outlineLevel="0" collapsed="false">
      <c r="A13" s="22" t="s">
        <v>623</v>
      </c>
      <c r="B13" s="45" t="n">
        <f aca="false">'6 Вентилятор'!$D$38</f>
        <v>1882.38255880803</v>
      </c>
      <c r="C13" s="46" t="n">
        <v>1882.38255741438</v>
      </c>
      <c r="D13" s="47" t="n">
        <f aca="false">ABS(B13-C13)/ABS(C13)</f>
        <v>7.40364609459164E-010</v>
      </c>
      <c r="E13" s="21" t="str">
        <f aca="false">IF(D13&lt;0.001,"ОК","ПРОВЕРИТЬ")</f>
        <v>ОК</v>
      </c>
    </row>
    <row r="14" customFormat="false" ht="15" hidden="false" customHeight="false" outlineLevel="0" collapsed="false">
      <c r="A14" s="22" t="s">
        <v>624</v>
      </c>
      <c r="B14" s="45" t="n">
        <f aca="false">'7 Тепло'!$D$9</f>
        <v>665.306082898869</v>
      </c>
      <c r="C14" s="46" t="n">
        <v>665.190604268625</v>
      </c>
      <c r="D14" s="47" t="n">
        <f aca="false">ABS(B14-C14)/ABS(C14)</f>
        <v>0.000173602317144418</v>
      </c>
      <c r="E14" s="21" t="str">
        <f aca="false">IF(D14&lt;0.001,"ОК","ПРОВЕРИТЬ")</f>
        <v>ОК</v>
      </c>
    </row>
    <row r="15" customFormat="false" ht="15" hidden="false" customHeight="false" outlineLevel="0" collapsed="false">
      <c r="A15" s="22" t="s">
        <v>625</v>
      </c>
      <c r="B15" s="45" t="n">
        <f aca="false">'7 Тепло'!$D$18</f>
        <v>526.573896930964</v>
      </c>
      <c r="C15" s="46" t="n">
        <v>526.573896932732</v>
      </c>
      <c r="D15" s="47" t="n">
        <f aca="false">ABS(B15-C15)/ABS(C15)</f>
        <v>3.35787891762924E-012</v>
      </c>
      <c r="E15" s="21" t="str">
        <f aca="false">IF(D15&lt;0.001,"ОК","ПРОВЕРИТЬ")</f>
        <v>ОК</v>
      </c>
    </row>
    <row r="16" customFormat="false" ht="15" hidden="false" customHeight="false" outlineLevel="0" collapsed="false">
      <c r="A16" s="22" t="s">
        <v>626</v>
      </c>
      <c r="B16" s="45" t="n">
        <f aca="false">'7 Тепло'!$D$19</f>
        <v>518.943481380544</v>
      </c>
      <c r="C16" s="46" t="n">
        <v>518.943481349561</v>
      </c>
      <c r="D16" s="47" t="n">
        <f aca="false">ABS(B16-C16)/ABS(C16)</f>
        <v>5.97045774182817E-011</v>
      </c>
      <c r="E16" s="21" t="str">
        <f aca="false">IF(D16&lt;0.001,"ОК","ПРОВЕРИТЬ")</f>
        <v>ОК</v>
      </c>
    </row>
    <row r="17" customFormat="false" ht="15" hidden="false" customHeight="false" outlineLevel="0" collapsed="false">
      <c r="A17" s="22" t="s">
        <v>627</v>
      </c>
      <c r="B17" s="45" t="n">
        <f aca="false">'7 Тепло'!$D$24</f>
        <v>16.487584096</v>
      </c>
      <c r="C17" s="46" t="n">
        <v>16.4847439364815</v>
      </c>
      <c r="D17" s="47" t="n">
        <f aca="false">ABS(B17-C17)/ABS(C17)</f>
        <v>0.000172290181117913</v>
      </c>
      <c r="E17" s="21" t="str">
        <f aca="false">IF(D17&lt;0.001,"ОК","ПРОВЕРИТЬ")</f>
        <v>ОК</v>
      </c>
    </row>
    <row r="18" customFormat="false" ht="15" hidden="false" customHeight="false" outlineLevel="0" collapsed="false">
      <c r="A18" s="22" t="s">
        <v>628</v>
      </c>
      <c r="B18" s="45" t="n">
        <f aca="false">'10 Регулирование'!$D$36</f>
        <v>4.5</v>
      </c>
      <c r="C18" s="46" t="n">
        <v>4.5</v>
      </c>
      <c r="D18" s="47" t="n">
        <f aca="false">ABS(B18-C18)/ABS(C18)</f>
        <v>0</v>
      </c>
      <c r="E18" s="21" t="str">
        <f aca="false">IF(D18&lt;0.001,"ОК","ПРОВЕРИТЬ")</f>
        <v>ОК</v>
      </c>
    </row>
    <row r="19" customFormat="false" ht="15" hidden="false" customHeight="false" outlineLevel="0" collapsed="false">
      <c r="A19" s="22" t="s">
        <v>629</v>
      </c>
      <c r="B19" s="45" t="n">
        <f aca="false">'10 Регулирование'!$D$39</f>
        <v>2.78452526312763</v>
      </c>
      <c r="C19" s="46" t="n">
        <v>2.78452526312763</v>
      </c>
      <c r="D19" s="47" t="n">
        <f aca="false">ABS(B19-C19)/ABS(C19)</f>
        <v>0</v>
      </c>
      <c r="E19" s="21" t="str">
        <f aca="false">IF(D19&lt;0.001,"ОК","ПРОВЕРИТЬ")</f>
        <v>ОК</v>
      </c>
    </row>
    <row r="20" customFormat="false" ht="15" hidden="false" customHeight="false" outlineLevel="0" collapsed="false">
      <c r="A20" s="22" t="s">
        <v>630</v>
      </c>
      <c r="B20" s="45" t="n">
        <f aca="false">'10 Регулирование'!$D$40</f>
        <v>25.5236198173473</v>
      </c>
      <c r="C20" s="46" t="n">
        <v>25.5236198173473</v>
      </c>
      <c r="D20" s="47" t="n">
        <f aca="false">ABS(B20-C20)/ABS(C20)</f>
        <v>0</v>
      </c>
      <c r="E20" s="21" t="str">
        <f aca="false">IF(D20&lt;0.001,"ОК","ПРОВЕРИТЬ")</f>
        <v>ОК</v>
      </c>
    </row>
    <row r="21" customFormat="false" ht="15" hidden="false" customHeight="false" outlineLevel="0" collapsed="false">
      <c r="A21" s="22" t="s">
        <v>631</v>
      </c>
      <c r="B21" s="45" t="n">
        <f aca="false">'11 Динамика'!$D$5</f>
        <v>16588.8</v>
      </c>
      <c r="C21" s="46" t="n">
        <v>16588.8</v>
      </c>
      <c r="D21" s="47" t="n">
        <f aca="false">ABS(B21-C21)/ABS(C21)</f>
        <v>0</v>
      </c>
      <c r="E21" s="21" t="str">
        <f aca="false">IF(D21&lt;0.001,"ОК","ПРОВЕРИТЬ")</f>
        <v>ОК</v>
      </c>
    </row>
    <row r="22" customFormat="false" ht="15" hidden="false" customHeight="false" outlineLevel="0" collapsed="false">
      <c r="A22" s="6" t="s">
        <v>632</v>
      </c>
    </row>
    <row r="23" customFormat="false" ht="15" hidden="false" customHeight="false" outlineLevel="0" collapsed="false">
      <c r="A23" s="22" t="s">
        <v>633</v>
      </c>
      <c r="B23" s="48" t="n">
        <f aca="false">'5 Потери'!$R$51</f>
        <v>5.44444446859416E-006</v>
      </c>
      <c r="C23" s="22" t="s">
        <v>634</v>
      </c>
      <c r="E23" s="21" t="str">
        <f aca="false">IF(ABS(B23)&lt;=0.001,"ОК","ПРОВЕРИТЬ")</f>
        <v>ОК</v>
      </c>
    </row>
    <row r="24" customFormat="false" ht="15" hidden="false" customHeight="false" outlineLevel="0" collapsed="false">
      <c r="A24" s="22" t="s">
        <v>635</v>
      </c>
      <c r="B24" s="48" t="n">
        <f aca="false">'6 Вентилятор'!$D$22</f>
        <v>-2.52090870844768E-005</v>
      </c>
      <c r="C24" s="22" t="s">
        <v>636</v>
      </c>
      <c r="E24" s="21" t="str">
        <f aca="false">IF(ABS(B24)&lt;=0.01,"ОК","ПРОВЕРИТЬ")</f>
        <v>ОК</v>
      </c>
    </row>
    <row r="25" customFormat="false" ht="15" hidden="false" customHeight="false" outlineLevel="0" collapsed="false">
      <c r="A25" s="22" t="s">
        <v>637</v>
      </c>
      <c r="B25" s="48" t="n">
        <f aca="false">'6 Вентилятор'!$D$23</f>
        <v>-2.8875702582809E-005</v>
      </c>
      <c r="C25" s="22" t="s">
        <v>636</v>
      </c>
      <c r="E25" s="21" t="str">
        <f aca="false">IF(ABS(B25)&lt;=0.01,"ОК","ПРОВЕРИТЬ")</f>
        <v>ОК</v>
      </c>
    </row>
    <row r="26" customFormat="false" ht="15" hidden="false" customHeight="false" outlineLevel="0" collapsed="false">
      <c r="A26" s="22" t="s">
        <v>638</v>
      </c>
      <c r="B26" s="48" t="n">
        <f aca="false">'6 Вентилятор'!$D$24</f>
        <v>-2.40522252852315E-005</v>
      </c>
      <c r="C26" s="22" t="s">
        <v>636</v>
      </c>
      <c r="E26" s="21" t="str">
        <f aca="false">IF(ABS(B26)&lt;=0.01,"ОК","ПРОВЕРИТЬ")</f>
        <v>ОК</v>
      </c>
    </row>
    <row r="27" customFormat="false" ht="15" hidden="false" customHeight="false" outlineLevel="0" collapsed="false">
      <c r="A27" s="22" t="s">
        <v>639</v>
      </c>
      <c r="B27" s="48" t="n">
        <f aca="false">'2 Выделения'!$D$13</f>
        <v>0</v>
      </c>
      <c r="C27" s="22" t="s">
        <v>640</v>
      </c>
      <c r="E27" s="21" t="str">
        <f aca="false">IF(ABS(B27)&lt;=0.000000001,"ОК","ПРОВЕРИТЬ")</f>
        <v>ОК</v>
      </c>
    </row>
    <row r="28" customFormat="false" ht="15" hidden="false" customHeight="false" outlineLevel="0" collapsed="false">
      <c r="A28" s="22" t="s">
        <v>641</v>
      </c>
      <c r="B28" s="48" t="n">
        <f aca="false">'3 СП 60'!$D$13-'1 Исходные'!$D$25</f>
        <v>0</v>
      </c>
      <c r="C28" s="22" t="s">
        <v>640</v>
      </c>
      <c r="E28" s="21" t="str">
        <f aca="false">IF(ABS(B28)&lt;=0.000000001,"ОК","ПРОВЕРИТЬ")</f>
        <v>ОК</v>
      </c>
    </row>
    <row r="29" customFormat="false" ht="15" hidden="false" customHeight="false" outlineLevel="0" collapsed="false">
      <c r="A29" s="22" t="s">
        <v>642</v>
      </c>
      <c r="B29" s="48" t="n">
        <f aca="false">MAX('11 Динамика'!$E$13:$E$28)</f>
        <v>8.53793584632849E-005</v>
      </c>
      <c r="C29" s="22" t="s">
        <v>634</v>
      </c>
      <c r="E29" s="21" t="str">
        <f aca="false">IF(ABS(B29)&lt;=0.001,"ОК","ПРОВЕРИТЬ")</f>
        <v>ОК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5" t="s">
        <v>643</v>
      </c>
    </row>
    <row r="2" customFormat="false" ht="45" hidden="false" customHeight="true" outlineLevel="0" collapsed="false">
      <c r="A2" s="10" t="s">
        <v>644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A4" s="23" t="s">
        <v>645</v>
      </c>
    </row>
    <row r="5" customFormat="false" ht="26.85" hidden="false" customHeight="false" outlineLevel="0" collapsed="false">
      <c r="A5" s="7" t="s">
        <v>646</v>
      </c>
      <c r="B5" s="7" t="s">
        <v>647</v>
      </c>
      <c r="C5" s="7" t="s">
        <v>648</v>
      </c>
      <c r="D5" s="7" t="s">
        <v>649</v>
      </c>
      <c r="E5" s="7" t="s">
        <v>650</v>
      </c>
      <c r="F5" s="7" t="s">
        <v>651</v>
      </c>
      <c r="G5" s="7" t="s">
        <v>652</v>
      </c>
      <c r="H5" s="7" t="s">
        <v>653</v>
      </c>
    </row>
    <row r="6" customFormat="false" ht="15" hidden="false" customHeight="false" outlineLevel="0" collapsed="false">
      <c r="A6" s="24" t="s">
        <v>654</v>
      </c>
      <c r="B6" s="24" t="n">
        <v>16.48</v>
      </c>
      <c r="C6" s="24" t="n">
        <v>665</v>
      </c>
      <c r="D6" s="24" t="n">
        <v>4498</v>
      </c>
      <c r="E6" s="24" t="s">
        <v>655</v>
      </c>
      <c r="F6" s="24" t="s">
        <v>655</v>
      </c>
      <c r="G6" s="24" t="n">
        <v>0.064</v>
      </c>
      <c r="H6" s="24" t="n">
        <v>0.088</v>
      </c>
    </row>
    <row r="7" customFormat="false" ht="15" hidden="false" customHeight="false" outlineLevel="0" collapsed="false">
      <c r="A7" s="24" t="s">
        <v>656</v>
      </c>
      <c r="B7" s="24" t="n">
        <v>5.39</v>
      </c>
      <c r="C7" s="24" t="n">
        <v>527</v>
      </c>
      <c r="D7" s="24" t="n">
        <v>1872</v>
      </c>
      <c r="E7" s="24" t="s">
        <v>657</v>
      </c>
      <c r="F7" s="24" t="s">
        <v>658</v>
      </c>
      <c r="G7" s="24" t="n">
        <v>0.084</v>
      </c>
      <c r="H7" s="24" t="n">
        <v>0.111</v>
      </c>
    </row>
    <row r="8" customFormat="false" ht="15" hidden="false" customHeight="false" outlineLevel="0" collapsed="false">
      <c r="A8" s="24" t="s">
        <v>659</v>
      </c>
      <c r="B8" s="24" t="n">
        <v>4.97</v>
      </c>
      <c r="C8" s="24" t="n">
        <v>519</v>
      </c>
      <c r="D8" s="24" t="n">
        <v>1727</v>
      </c>
      <c r="E8" s="24" t="s">
        <v>660</v>
      </c>
      <c r="F8" s="24" t="s">
        <v>661</v>
      </c>
      <c r="G8" s="24" t="n">
        <v>0.087</v>
      </c>
      <c r="H8" s="24" t="n">
        <v>0.115</v>
      </c>
    </row>
    <row r="9" customFormat="false" ht="15" hidden="false" customHeight="false" outlineLevel="0" collapsed="false">
      <c r="A9" s="24" t="s">
        <v>662</v>
      </c>
      <c r="B9" s="24" t="n">
        <v>4.97</v>
      </c>
      <c r="C9" s="24" t="n">
        <v>398</v>
      </c>
      <c r="D9" s="24" t="n">
        <v>1727</v>
      </c>
      <c r="E9" s="24" t="s">
        <v>660</v>
      </c>
      <c r="F9" s="24" t="s">
        <v>661</v>
      </c>
      <c r="G9" s="24" t="n">
        <v>0.107</v>
      </c>
      <c r="H9" s="24" t="n">
        <v>0.142</v>
      </c>
    </row>
    <row r="11" customFormat="false" ht="15" hidden="false" customHeight="false" outlineLevel="0" collapsed="false">
      <c r="A11" s="23" t="s">
        <v>663</v>
      </c>
    </row>
    <row r="12" customFormat="false" ht="39.55" hidden="false" customHeight="false" outlineLevel="0" collapsed="false">
      <c r="A12" s="7" t="s">
        <v>664</v>
      </c>
      <c r="B12" s="7" t="s">
        <v>665</v>
      </c>
      <c r="C12" s="7" t="s">
        <v>648</v>
      </c>
      <c r="D12" s="7" t="s">
        <v>666</v>
      </c>
      <c r="E12" s="7" t="s">
        <v>667</v>
      </c>
      <c r="F12" s="7" t="s">
        <v>668</v>
      </c>
      <c r="G12" s="7" t="s">
        <v>669</v>
      </c>
      <c r="H12" s="7"/>
    </row>
    <row r="13" customFormat="false" ht="15" hidden="false" customHeight="false" outlineLevel="0" collapsed="false">
      <c r="A13" s="24" t="s">
        <v>670</v>
      </c>
      <c r="B13" s="24" t="n">
        <v>10847</v>
      </c>
      <c r="C13" s="24" t="n">
        <v>660</v>
      </c>
      <c r="D13" s="24" t="n">
        <v>28.79</v>
      </c>
      <c r="E13" s="24" t="n">
        <v>0.068</v>
      </c>
      <c r="F13" s="24" t="n">
        <v>0.096</v>
      </c>
      <c r="G13" s="24" t="s">
        <v>671</v>
      </c>
      <c r="H13" s="24"/>
    </row>
    <row r="14" customFormat="false" ht="15" hidden="false" customHeight="false" outlineLevel="0" collapsed="false">
      <c r="A14" s="24" t="s">
        <v>672</v>
      </c>
      <c r="B14" s="24" t="n">
        <v>5344</v>
      </c>
      <c r="C14" s="24" t="n">
        <v>369</v>
      </c>
      <c r="D14" s="24" t="n">
        <v>9.44</v>
      </c>
      <c r="E14" s="24" t="n">
        <v>0.106</v>
      </c>
      <c r="F14" s="24" t="n">
        <v>0.143</v>
      </c>
      <c r="G14" s="24" t="s">
        <v>671</v>
      </c>
      <c r="H14" s="24"/>
    </row>
    <row r="15" customFormat="false" ht="15" hidden="false" customHeight="false" outlineLevel="0" collapsed="false">
      <c r="A15" s="24" t="s">
        <v>673</v>
      </c>
      <c r="B15" s="24" t="n">
        <v>7538</v>
      </c>
      <c r="C15" s="24" t="n">
        <v>485</v>
      </c>
      <c r="D15" s="24" t="n">
        <v>6.17</v>
      </c>
      <c r="E15" s="24" t="n">
        <v>0.086</v>
      </c>
      <c r="F15" s="24" t="n">
        <v>0.111</v>
      </c>
      <c r="G15" s="24" t="s">
        <v>671</v>
      </c>
      <c r="H15" s="24"/>
    </row>
    <row r="16" customFormat="false" ht="15" hidden="false" customHeight="false" outlineLevel="0" collapsed="false">
      <c r="A16" s="24" t="s">
        <v>674</v>
      </c>
      <c r="B16" s="24" t="n">
        <v>6879</v>
      </c>
      <c r="C16" s="24" t="n">
        <v>450</v>
      </c>
      <c r="D16" s="24" t="n">
        <v>6.58</v>
      </c>
      <c r="E16" s="24" t="n">
        <v>0.089</v>
      </c>
      <c r="F16" s="24" t="n">
        <v>0.115</v>
      </c>
      <c r="G16" s="24" t="s">
        <v>671</v>
      </c>
      <c r="H16" s="24"/>
    </row>
    <row r="17" customFormat="false" ht="15" hidden="false" customHeight="false" outlineLevel="0" collapsed="false">
      <c r="A17" s="24" t="s">
        <v>675</v>
      </c>
      <c r="B17" s="24" t="n">
        <v>4160</v>
      </c>
      <c r="C17" s="24" t="n">
        <v>307</v>
      </c>
      <c r="D17" s="24" t="n">
        <v>6.01</v>
      </c>
      <c r="E17" s="24" t="n">
        <v>0.115</v>
      </c>
      <c r="F17" s="24" t="n">
        <v>0.154</v>
      </c>
      <c r="G17" s="24" t="s">
        <v>671</v>
      </c>
      <c r="H17" s="24"/>
    </row>
    <row r="18" customFormat="false" ht="15" hidden="false" customHeight="false" outlineLevel="0" collapsed="false">
      <c r="A18" s="24" t="s">
        <v>676</v>
      </c>
      <c r="B18" s="24" t="n">
        <v>10847</v>
      </c>
      <c r="C18" s="24" t="n">
        <v>660</v>
      </c>
      <c r="D18" s="24" t="n">
        <v>28.79</v>
      </c>
      <c r="E18" s="24" t="n">
        <v>0.097</v>
      </c>
      <c r="F18" s="24" t="n">
        <v>0.137</v>
      </c>
      <c r="G18" s="24" t="s">
        <v>671</v>
      </c>
      <c r="H18" s="24"/>
    </row>
    <row r="19" customFormat="false" ht="15" hidden="false" customHeight="false" outlineLevel="0" collapsed="false">
      <c r="A19" s="24" t="s">
        <v>677</v>
      </c>
      <c r="B19" s="24" t="n">
        <v>5344</v>
      </c>
      <c r="C19" s="24" t="n">
        <v>369</v>
      </c>
      <c r="D19" s="24" t="n">
        <v>9.44</v>
      </c>
      <c r="E19" s="24" t="n">
        <v>0.151</v>
      </c>
      <c r="F19" s="24" t="n">
        <v>0.205</v>
      </c>
      <c r="G19" s="24" t="s">
        <v>678</v>
      </c>
      <c r="H19" s="24"/>
    </row>
    <row r="20" customFormat="false" ht="15" hidden="false" customHeight="false" outlineLevel="0" collapsed="false">
      <c r="A20" s="24" t="s">
        <v>679</v>
      </c>
      <c r="B20" s="24" t="n">
        <v>7538</v>
      </c>
      <c r="C20" s="24" t="n">
        <v>485</v>
      </c>
      <c r="D20" s="24" t="n">
        <v>6.17</v>
      </c>
      <c r="E20" s="24" t="n">
        <v>0.122</v>
      </c>
      <c r="F20" s="24" t="n">
        <v>0.159</v>
      </c>
      <c r="G20" s="24" t="s">
        <v>671</v>
      </c>
      <c r="H20" s="24"/>
    </row>
    <row r="21" customFormat="false" ht="15" hidden="false" customHeight="false" outlineLevel="0" collapsed="false">
      <c r="A21" s="24" t="s">
        <v>680</v>
      </c>
      <c r="B21" s="24" t="n">
        <v>11011</v>
      </c>
      <c r="C21" s="24" t="n">
        <v>669</v>
      </c>
      <c r="D21" s="24" t="n">
        <v>12.04</v>
      </c>
      <c r="E21" s="24" t="n">
        <v>0.092</v>
      </c>
      <c r="F21" s="24" t="n">
        <v>0.123</v>
      </c>
      <c r="G21" s="24" t="s">
        <v>671</v>
      </c>
      <c r="H21" s="24"/>
    </row>
    <row r="23" customFormat="false" ht="15" hidden="false" customHeight="false" outlineLevel="0" collapsed="false">
      <c r="A23" s="23" t="s">
        <v>681</v>
      </c>
    </row>
    <row r="24" customFormat="false" ht="26.85" hidden="false" customHeight="false" outlineLevel="0" collapsed="false">
      <c r="A24" s="7" t="s">
        <v>682</v>
      </c>
      <c r="B24" s="7" t="s">
        <v>647</v>
      </c>
      <c r="C24" s="7" t="s">
        <v>648</v>
      </c>
      <c r="D24" s="7" t="s">
        <v>665</v>
      </c>
      <c r="E24" s="7" t="s">
        <v>683</v>
      </c>
      <c r="F24" s="7"/>
      <c r="G24" s="7"/>
      <c r="H24" s="7"/>
    </row>
    <row r="25" customFormat="false" ht="15" hidden="false" customHeight="false" outlineLevel="0" collapsed="false">
      <c r="A25" s="24" t="s">
        <v>684</v>
      </c>
      <c r="B25" s="24" t="n">
        <v>24.21</v>
      </c>
      <c r="C25" s="24" t="n">
        <v>341</v>
      </c>
      <c r="D25" s="24" t="n">
        <v>962</v>
      </c>
      <c r="E25" s="24" t="n">
        <v>0.381</v>
      </c>
    </row>
    <row r="26" customFormat="false" ht="15" hidden="false" customHeight="false" outlineLevel="0" collapsed="false">
      <c r="A26" s="24" t="s">
        <v>685</v>
      </c>
      <c r="B26" s="24" t="n">
        <v>7.96</v>
      </c>
      <c r="C26" s="24" t="n">
        <v>175</v>
      </c>
      <c r="D26" s="24" t="n">
        <v>962</v>
      </c>
      <c r="E26" s="24" t="n">
        <v>0.654</v>
      </c>
    </row>
    <row r="27" customFormat="false" ht="15" hidden="false" customHeight="false" outlineLevel="0" collapsed="false">
      <c r="A27" s="24" t="s">
        <v>686</v>
      </c>
      <c r="B27" s="24" t="n">
        <v>6.89</v>
      </c>
      <c r="C27" s="24" t="n">
        <v>163</v>
      </c>
      <c r="D27" s="24" t="n">
        <v>962</v>
      </c>
      <c r="E27" s="24" t="n">
        <v>0.704</v>
      </c>
    </row>
    <row r="28" customFormat="false" ht="15" hidden="false" customHeight="false" outlineLevel="0" collapsed="false">
      <c r="A28" s="24" t="s">
        <v>687</v>
      </c>
      <c r="B28" s="24" t="n">
        <v>6.89</v>
      </c>
      <c r="C28" s="24" t="n">
        <v>137</v>
      </c>
      <c r="D28" s="24" t="n">
        <v>486</v>
      </c>
      <c r="E28" s="24" t="n">
        <v>0.769</v>
      </c>
    </row>
    <row r="29" customFormat="false" ht="15" hidden="false" customHeight="false" outlineLevel="0" collapsed="false">
      <c r="A29" s="24" t="s">
        <v>688</v>
      </c>
      <c r="B29" s="24" t="n">
        <v>6.89</v>
      </c>
      <c r="C29" s="24" t="n">
        <v>283</v>
      </c>
      <c r="D29" s="24" t="n">
        <v>3240</v>
      </c>
      <c r="E29" s="24" t="n">
        <v>0.471</v>
      </c>
    </row>
    <row r="30" customFormat="false" ht="15" hidden="false" customHeight="false" outlineLevel="0" collapsed="false">
      <c r="A30" s="24" t="s">
        <v>689</v>
      </c>
      <c r="B30" s="24" t="n">
        <v>6.89</v>
      </c>
      <c r="C30" s="24" t="n">
        <v>160</v>
      </c>
      <c r="D30" s="24" t="n">
        <v>919</v>
      </c>
      <c r="E30" s="24" t="n">
        <v>0.691</v>
      </c>
    </row>
    <row r="31" customFormat="false" ht="15" hidden="false" customHeight="false" outlineLevel="0" collapsed="false">
      <c r="A31" s="24" t="s">
        <v>690</v>
      </c>
      <c r="B31" s="24" t="n">
        <v>6.89</v>
      </c>
      <c r="C31" s="24" t="n">
        <v>140</v>
      </c>
      <c r="D31" s="24" t="n">
        <v>526</v>
      </c>
      <c r="E31" s="24" t="n">
        <v>0.747</v>
      </c>
    </row>
    <row r="33" customFormat="false" ht="31.5" hidden="false" customHeight="true" outlineLevel="0" collapsed="false">
      <c r="A33" s="49" t="s">
        <v>691</v>
      </c>
      <c r="B33" s="49"/>
      <c r="C33" s="49"/>
      <c r="D33" s="49"/>
      <c r="E33" s="49"/>
      <c r="F33" s="49"/>
      <c r="G33" s="49"/>
      <c r="H33" s="49"/>
      <c r="I33" s="49"/>
    </row>
    <row r="34" customFormat="false" ht="31.5" hidden="false" customHeight="true" outlineLevel="0" collapsed="false">
      <c r="A34" s="50" t="s">
        <v>692</v>
      </c>
      <c r="B34" s="50"/>
      <c r="C34" s="50"/>
      <c r="D34" s="50"/>
      <c r="E34" s="50"/>
      <c r="F34" s="50"/>
      <c r="G34" s="50"/>
      <c r="H34" s="50"/>
      <c r="I34" s="50"/>
    </row>
    <row r="35" customFormat="false" ht="31.5" hidden="false" customHeight="true" outlineLevel="0" collapsed="false">
      <c r="A35" s="50" t="s">
        <v>693</v>
      </c>
      <c r="B35" s="50"/>
      <c r="C35" s="50"/>
      <c r="D35" s="50"/>
      <c r="E35" s="50"/>
      <c r="F35" s="50"/>
      <c r="G35" s="50"/>
      <c r="H35" s="50"/>
      <c r="I35" s="50"/>
    </row>
    <row r="36" customFormat="false" ht="31.5" hidden="false" customHeight="true" outlineLevel="0" collapsed="false">
      <c r="A36" s="50" t="s">
        <v>694</v>
      </c>
      <c r="B36" s="50"/>
      <c r="C36" s="50"/>
      <c r="D36" s="50"/>
      <c r="E36" s="50"/>
      <c r="F36" s="50"/>
      <c r="G36" s="50"/>
      <c r="H36" s="50"/>
      <c r="I36" s="50"/>
    </row>
    <row r="37" customFormat="false" ht="31.5" hidden="false" customHeight="true" outlineLevel="0" collapsed="false">
      <c r="A37" s="50" t="s">
        <v>695</v>
      </c>
      <c r="B37" s="50"/>
      <c r="C37" s="50"/>
      <c r="D37" s="50"/>
      <c r="E37" s="50"/>
      <c r="F37" s="50"/>
      <c r="G37" s="50"/>
      <c r="H37" s="50"/>
      <c r="I37" s="50"/>
    </row>
    <row r="38" customFormat="false" ht="31.5" hidden="false" customHeight="true" outlineLevel="0" collapsed="false">
      <c r="A38" s="50" t="s">
        <v>696</v>
      </c>
      <c r="B38" s="50"/>
      <c r="C38" s="50"/>
      <c r="D38" s="50"/>
      <c r="E38" s="50"/>
      <c r="F38" s="50"/>
      <c r="G38" s="50"/>
      <c r="H38" s="50"/>
      <c r="I38" s="50"/>
    </row>
    <row r="39" customFormat="false" ht="31.5" hidden="false" customHeight="true" outlineLevel="0" collapsed="false">
      <c r="A39" s="50" t="s">
        <v>697</v>
      </c>
      <c r="B39" s="50"/>
      <c r="C39" s="50"/>
      <c r="D39" s="50"/>
      <c r="E39" s="50"/>
      <c r="F39" s="50"/>
      <c r="G39" s="50"/>
      <c r="H39" s="50"/>
      <c r="I39" s="50"/>
    </row>
    <row r="40" customFormat="false" ht="31.5" hidden="false" customHeight="true" outlineLevel="0" collapsed="false">
      <c r="A40" s="50" t="s">
        <v>698</v>
      </c>
      <c r="B40" s="50"/>
      <c r="C40" s="50"/>
      <c r="D40" s="50"/>
      <c r="E40" s="50"/>
      <c r="F40" s="50"/>
      <c r="G40" s="50"/>
      <c r="H40" s="50"/>
      <c r="I40" s="50"/>
    </row>
  </sheetData>
  <mergeCells count="9">
    <mergeCell ref="A2:I2"/>
    <mergeCell ref="A33:I33"/>
    <mergeCell ref="A34:I34"/>
    <mergeCell ref="A35:I35"/>
    <mergeCell ref="A36:I36"/>
    <mergeCell ref="A37:I37"/>
    <mergeCell ref="A38:I38"/>
    <mergeCell ref="A39:I39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699</v>
      </c>
    </row>
    <row r="2" customFormat="false" ht="60" hidden="false" customHeight="true" outlineLevel="0" collapsed="false">
      <c r="A2" s="10" t="s">
        <v>700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701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702</v>
      </c>
      <c r="C6" s="8" t="s">
        <v>703</v>
      </c>
      <c r="D6" s="51" t="n">
        <f aca="false">'5 Потери'!$J$9</f>
        <v>0.121757</v>
      </c>
      <c r="E6" s="8" t="s">
        <v>704</v>
      </c>
      <c r="F6" s="8"/>
      <c r="G6" s="8" t="s">
        <v>705</v>
      </c>
      <c r="H6" s="8" t="s">
        <v>706</v>
      </c>
    </row>
    <row r="7" customFormat="false" ht="15" hidden="false" customHeight="false" outlineLevel="0" collapsed="false">
      <c r="A7" s="8" t="n">
        <v>2</v>
      </c>
      <c r="B7" s="8" t="s">
        <v>707</v>
      </c>
      <c r="C7" s="8" t="s">
        <v>361</v>
      </c>
      <c r="D7" s="19" t="n">
        <f aca="false">'5 Потери'!$P$9</f>
        <v>0.202340391826025</v>
      </c>
      <c r="E7" s="8" t="s">
        <v>123</v>
      </c>
      <c r="F7" s="8" t="s">
        <v>708</v>
      </c>
      <c r="G7" s="8"/>
      <c r="H7" s="8" t="s">
        <v>709</v>
      </c>
    </row>
    <row r="8" customFormat="false" ht="26.85" hidden="false" customHeight="false" outlineLevel="0" collapsed="false">
      <c r="A8" s="8" t="n">
        <v>3</v>
      </c>
      <c r="B8" s="8" t="s">
        <v>710</v>
      </c>
      <c r="C8" s="8" t="s">
        <v>711</v>
      </c>
      <c r="D8" s="52" t="n">
        <f aca="false">'5 Потери'!$R$9</f>
        <v>21.3354680509846</v>
      </c>
      <c r="E8" s="8" t="s">
        <v>496</v>
      </c>
      <c r="F8" s="8" t="s">
        <v>712</v>
      </c>
      <c r="G8" s="8"/>
      <c r="H8" s="8" t="s">
        <v>91</v>
      </c>
    </row>
    <row r="9" customFormat="false" ht="26.85" hidden="false" customHeight="false" outlineLevel="0" collapsed="false">
      <c r="A9" s="8" t="n">
        <v>4</v>
      </c>
      <c r="B9" s="8" t="s">
        <v>713</v>
      </c>
      <c r="C9" s="8" t="s">
        <v>714</v>
      </c>
      <c r="D9" s="53" t="n">
        <f aca="false">'5 Потери'!$R$9-INDEX('4 Таблицы'!$B$5:$B$13,1)*'5 Потери'!$Q$9</f>
        <v>0.246778977644176</v>
      </c>
      <c r="E9" s="8" t="s">
        <v>496</v>
      </c>
      <c r="F9" s="8" t="s">
        <v>715</v>
      </c>
      <c r="G9" s="8" t="s">
        <v>716</v>
      </c>
      <c r="H9" s="8"/>
    </row>
    <row r="10" customFormat="false" ht="26.85" hidden="false" customHeight="false" outlineLevel="0" collapsed="false">
      <c r="A10" s="8" t="n">
        <v>5</v>
      </c>
      <c r="B10" s="8" t="s">
        <v>717</v>
      </c>
      <c r="C10" s="8" t="s">
        <v>703</v>
      </c>
      <c r="D10" s="51" t="n">
        <f aca="false">'5 Потери'!$J$19</f>
        <v>5.21025</v>
      </c>
      <c r="E10" s="8" t="s">
        <v>704</v>
      </c>
      <c r="F10" s="8"/>
      <c r="G10" s="8" t="s">
        <v>705</v>
      </c>
      <c r="H10" s="8" t="s">
        <v>706</v>
      </c>
    </row>
    <row r="11" customFormat="false" ht="15" hidden="false" customHeight="false" outlineLevel="0" collapsed="false">
      <c r="A11" s="8" t="n">
        <v>6</v>
      </c>
      <c r="B11" s="8" t="s">
        <v>718</v>
      </c>
      <c r="C11" s="8" t="s">
        <v>361</v>
      </c>
      <c r="D11" s="19" t="n">
        <f aca="false">'5 Потери'!$P$19</f>
        <v>0.329034535767356</v>
      </c>
      <c r="E11" s="8" t="s">
        <v>123</v>
      </c>
      <c r="F11" s="8" t="s">
        <v>708</v>
      </c>
      <c r="G11" s="8"/>
      <c r="H11" s="8" t="s">
        <v>709</v>
      </c>
    </row>
    <row r="12" customFormat="false" ht="26.85" hidden="false" customHeight="false" outlineLevel="0" collapsed="false">
      <c r="A12" s="8" t="n">
        <v>7</v>
      </c>
      <c r="B12" s="8" t="s">
        <v>719</v>
      </c>
      <c r="C12" s="8" t="s">
        <v>711</v>
      </c>
      <c r="D12" s="52" t="n">
        <f aca="false">'5 Потери'!$R$19</f>
        <v>34.7021580267596</v>
      </c>
      <c r="E12" s="8" t="s">
        <v>496</v>
      </c>
      <c r="F12" s="8" t="s">
        <v>712</v>
      </c>
      <c r="G12" s="8"/>
      <c r="H12" s="8" t="s">
        <v>91</v>
      </c>
    </row>
    <row r="13" customFormat="false" ht="26.85" hidden="false" customHeight="false" outlineLevel="0" collapsed="false">
      <c r="A13" s="8" t="n">
        <v>8</v>
      </c>
      <c r="B13" s="8" t="s">
        <v>720</v>
      </c>
      <c r="C13" s="8" t="s">
        <v>714</v>
      </c>
      <c r="D13" s="53" t="n">
        <f aca="false">'5 Потери'!$R$19-INDEX('4 Таблицы'!$B$5:$B$13,1)*'5 Потери'!$Q$19</f>
        <v>13.608835439312</v>
      </c>
      <c r="E13" s="8" t="s">
        <v>496</v>
      </c>
      <c r="F13" s="8" t="s">
        <v>715</v>
      </c>
      <c r="G13" s="8" t="s">
        <v>716</v>
      </c>
      <c r="H13" s="8"/>
    </row>
    <row r="14" customFormat="false" ht="26.85" hidden="false" customHeight="false" outlineLevel="0" collapsed="false">
      <c r="A14" s="8" t="n">
        <v>9</v>
      </c>
      <c r="B14" s="8" t="s">
        <v>721</v>
      </c>
      <c r="C14" s="8" t="s">
        <v>703</v>
      </c>
      <c r="D14" s="51" t="n">
        <f aca="false">'5 Потери'!$J$28</f>
        <v>7.990537</v>
      </c>
      <c r="E14" s="8" t="s">
        <v>704</v>
      </c>
      <c r="F14" s="8"/>
      <c r="G14" s="8" t="s">
        <v>705</v>
      </c>
      <c r="H14" s="8" t="s">
        <v>706</v>
      </c>
    </row>
    <row r="15" customFormat="false" ht="15" hidden="false" customHeight="false" outlineLevel="0" collapsed="false">
      <c r="A15" s="8" t="n">
        <v>10</v>
      </c>
      <c r="B15" s="8" t="s">
        <v>722</v>
      </c>
      <c r="C15" s="8" t="s">
        <v>361</v>
      </c>
      <c r="D15" s="19" t="n">
        <f aca="false">'5 Потери'!$P$28</f>
        <v>0.429156786599716</v>
      </c>
      <c r="E15" s="8" t="s">
        <v>123</v>
      </c>
      <c r="F15" s="8" t="s">
        <v>708</v>
      </c>
      <c r="G15" s="8"/>
      <c r="H15" s="8" t="s">
        <v>709</v>
      </c>
    </row>
    <row r="16" customFormat="false" ht="26.85" hidden="false" customHeight="false" outlineLevel="0" collapsed="false">
      <c r="A16" s="8" t="n">
        <v>11</v>
      </c>
      <c r="B16" s="8" t="s">
        <v>723</v>
      </c>
      <c r="C16" s="8" t="s">
        <v>711</v>
      </c>
      <c r="D16" s="52" t="n">
        <f aca="false">'5 Потери'!$R$28</f>
        <v>45.2672428333521</v>
      </c>
      <c r="E16" s="8" t="s">
        <v>496</v>
      </c>
      <c r="F16" s="8" t="s">
        <v>712</v>
      </c>
      <c r="G16" s="8"/>
      <c r="H16" s="8" t="s">
        <v>91</v>
      </c>
    </row>
    <row r="17" customFormat="false" ht="26.85" hidden="false" customHeight="false" outlineLevel="0" collapsed="false">
      <c r="A17" s="8" t="n">
        <v>12</v>
      </c>
      <c r="B17" s="8" t="s">
        <v>724</v>
      </c>
      <c r="C17" s="8" t="s">
        <v>714</v>
      </c>
      <c r="D17" s="53" t="n">
        <f aca="false">'5 Потери'!$R$28-INDEX('4 Таблицы'!$B$5:$B$13,1)*'5 Потери'!$Q$28</f>
        <v>24.1713430378427</v>
      </c>
      <c r="E17" s="8" t="s">
        <v>496</v>
      </c>
      <c r="F17" s="8" t="s">
        <v>715</v>
      </c>
      <c r="G17" s="8" t="s">
        <v>716</v>
      </c>
      <c r="H17" s="8"/>
    </row>
    <row r="18" customFormat="false" ht="15" hidden="false" customHeight="true" outlineLevel="0" collapsed="false">
      <c r="B18" s="10" t="s">
        <v>725</v>
      </c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1" t="s">
        <v>726</v>
      </c>
      <c r="B19" s="11"/>
      <c r="C19" s="11"/>
      <c r="D19" s="11"/>
      <c r="E19" s="11"/>
      <c r="F19" s="11"/>
      <c r="G19" s="11"/>
      <c r="H19" s="11"/>
    </row>
    <row r="20" customFormat="false" ht="26.85" hidden="false" customHeight="false" outlineLevel="0" collapsed="false">
      <c r="A20" s="8" t="n">
        <v>13</v>
      </c>
      <c r="B20" s="8" t="s">
        <v>727</v>
      </c>
      <c r="C20" s="8" t="s">
        <v>728</v>
      </c>
      <c r="D20" s="43" t="n">
        <v>800.70062</v>
      </c>
      <c r="E20" s="8" t="s">
        <v>496</v>
      </c>
      <c r="F20" s="8"/>
      <c r="G20" s="8" t="s">
        <v>729</v>
      </c>
      <c r="H20" s="8" t="s">
        <v>483</v>
      </c>
    </row>
    <row r="21" customFormat="false" ht="26.85" hidden="false" customHeight="false" outlineLevel="0" collapsed="false">
      <c r="A21" s="8" t="n">
        <v>14</v>
      </c>
      <c r="B21" s="8" t="s">
        <v>730</v>
      </c>
      <c r="C21" s="8" t="s">
        <v>731</v>
      </c>
      <c r="D21" s="17" t="n">
        <v>1.1</v>
      </c>
      <c r="E21" s="8" t="s">
        <v>123</v>
      </c>
      <c r="F21" s="8"/>
      <c r="G21" s="8" t="s">
        <v>732</v>
      </c>
      <c r="H21" s="8" t="s">
        <v>224</v>
      </c>
    </row>
    <row r="22" customFormat="false" ht="15" hidden="false" customHeight="false" outlineLevel="0" collapsed="false">
      <c r="A22" s="8" t="n">
        <v>15</v>
      </c>
      <c r="B22" s="8" t="s">
        <v>733</v>
      </c>
      <c r="C22" s="8" t="s">
        <v>596</v>
      </c>
      <c r="D22" s="52" t="n">
        <f aca="false">'7 Тепло'!$D$21</f>
        <v>1462.102749</v>
      </c>
      <c r="E22" s="8" t="s">
        <v>479</v>
      </c>
      <c r="F22" s="8" t="s">
        <v>734</v>
      </c>
      <c r="G22" s="8"/>
      <c r="H22" s="8" t="s">
        <v>735</v>
      </c>
    </row>
    <row r="23" customFormat="false" ht="26.85" hidden="false" customHeight="false" outlineLevel="0" collapsed="false">
      <c r="A23" s="8" t="n">
        <v>16</v>
      </c>
      <c r="B23" s="8" t="s">
        <v>736</v>
      </c>
      <c r="C23" s="8" t="s">
        <v>703</v>
      </c>
      <c r="D23" s="54" t="n">
        <v>15.66483</v>
      </c>
      <c r="E23" s="8" t="s">
        <v>704</v>
      </c>
      <c r="F23" s="8"/>
      <c r="G23" s="8" t="s">
        <v>737</v>
      </c>
      <c r="H23" s="8" t="s">
        <v>738</v>
      </c>
    </row>
    <row r="24" customFormat="false" ht="15" hidden="false" customHeight="false" outlineLevel="0" collapsed="false">
      <c r="A24" s="8" t="n">
        <v>17</v>
      </c>
      <c r="B24" s="8" t="s">
        <v>739</v>
      </c>
      <c r="C24" s="8" t="s">
        <v>485</v>
      </c>
      <c r="D24" s="55" t="n">
        <v>1499.332214</v>
      </c>
      <c r="E24" s="8" t="s">
        <v>167</v>
      </c>
      <c r="F24" s="8"/>
      <c r="G24" s="8"/>
      <c r="H24" s="8" t="s">
        <v>483</v>
      </c>
    </row>
    <row r="25" customFormat="false" ht="26.85" hidden="false" customHeight="false" outlineLevel="0" collapsed="false">
      <c r="A25" s="8" t="n">
        <v>18</v>
      </c>
      <c r="B25" s="8" t="s">
        <v>740</v>
      </c>
      <c r="C25" s="8" t="s">
        <v>703</v>
      </c>
      <c r="D25" s="54" t="n">
        <v>16.805753</v>
      </c>
      <c r="E25" s="8" t="s">
        <v>704</v>
      </c>
      <c r="F25" s="8"/>
      <c r="G25" s="8" t="s">
        <v>737</v>
      </c>
      <c r="H25" s="8" t="s">
        <v>738</v>
      </c>
    </row>
    <row r="26" customFormat="false" ht="15" hidden="false" customHeight="false" outlineLevel="0" collapsed="false">
      <c r="A26" s="8" t="n">
        <v>19</v>
      </c>
      <c r="B26" s="8" t="s">
        <v>741</v>
      </c>
      <c r="C26" s="8" t="s">
        <v>485</v>
      </c>
      <c r="D26" s="55" t="n">
        <v>1499.413924</v>
      </c>
      <c r="E26" s="8" t="s">
        <v>167</v>
      </c>
      <c r="F26" s="8"/>
      <c r="G26" s="8"/>
      <c r="H26" s="8" t="s">
        <v>483</v>
      </c>
    </row>
    <row r="27" customFormat="false" ht="26.85" hidden="false" customHeight="false" outlineLevel="0" collapsed="false">
      <c r="A27" s="8" t="n">
        <v>20</v>
      </c>
      <c r="B27" s="8" t="s">
        <v>742</v>
      </c>
      <c r="C27" s="8" t="s">
        <v>703</v>
      </c>
      <c r="D27" s="54" t="n">
        <v>17.616855</v>
      </c>
      <c r="E27" s="8" t="s">
        <v>704</v>
      </c>
      <c r="F27" s="8"/>
      <c r="G27" s="8" t="s">
        <v>737</v>
      </c>
      <c r="H27" s="8" t="s">
        <v>738</v>
      </c>
    </row>
    <row r="28" customFormat="false" ht="15" hidden="false" customHeight="false" outlineLevel="0" collapsed="false">
      <c r="A28" s="8" t="n">
        <v>21</v>
      </c>
      <c r="B28" s="8" t="s">
        <v>743</v>
      </c>
      <c r="C28" s="8" t="s">
        <v>485</v>
      </c>
      <c r="D28" s="55" t="n">
        <v>1499.469085</v>
      </c>
      <c r="E28" s="8" t="s">
        <v>167</v>
      </c>
      <c r="F28" s="8"/>
      <c r="G28" s="8"/>
      <c r="H28" s="8" t="s">
        <v>483</v>
      </c>
    </row>
    <row r="29" customFormat="false" ht="30" hidden="false" customHeight="true" outlineLevel="0" collapsed="false">
      <c r="B29" s="10" t="s">
        <v>744</v>
      </c>
      <c r="C29" s="10"/>
      <c r="D29" s="10"/>
      <c r="E29" s="10"/>
      <c r="F29" s="10"/>
      <c r="G29" s="10"/>
      <c r="H29" s="10"/>
    </row>
    <row r="30" customFormat="false" ht="15" hidden="false" customHeight="false" outlineLevel="0" collapsed="false">
      <c r="A30" s="11" t="s">
        <v>745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8" t="n">
        <v>22</v>
      </c>
      <c r="B31" s="8" t="s">
        <v>746</v>
      </c>
      <c r="C31" s="8" t="s">
        <v>747</v>
      </c>
      <c r="D31" s="56" t="n">
        <f aca="false">'1 Исходные'!$D$17</f>
        <v>1500</v>
      </c>
      <c r="E31" s="8" t="s">
        <v>167</v>
      </c>
      <c r="F31" s="8"/>
      <c r="G31" s="8" t="s">
        <v>748</v>
      </c>
      <c r="H31" s="8" t="s">
        <v>749</v>
      </c>
    </row>
    <row r="32" customFormat="false" ht="26.85" hidden="false" customHeight="false" outlineLevel="0" collapsed="false">
      <c r="A32" s="8" t="n">
        <v>23</v>
      </c>
      <c r="B32" s="8" t="s">
        <v>750</v>
      </c>
      <c r="C32" s="8" t="s">
        <v>485</v>
      </c>
      <c r="D32" s="16" t="n">
        <v>1320</v>
      </c>
      <c r="E32" s="8" t="s">
        <v>167</v>
      </c>
      <c r="F32" s="8"/>
      <c r="G32" s="8" t="s">
        <v>751</v>
      </c>
      <c r="H32" s="8" t="s">
        <v>752</v>
      </c>
    </row>
    <row r="33" customFormat="false" ht="15" hidden="false" customHeight="false" outlineLevel="0" collapsed="false">
      <c r="A33" s="8" t="n">
        <v>24</v>
      </c>
      <c r="B33" s="8" t="s">
        <v>753</v>
      </c>
      <c r="C33" s="8" t="s">
        <v>754</v>
      </c>
      <c r="D33" s="15" t="n">
        <v>30</v>
      </c>
      <c r="E33" s="8" t="s">
        <v>704</v>
      </c>
      <c r="F33" s="8"/>
      <c r="G33" s="8"/>
      <c r="H33" s="8" t="s">
        <v>752</v>
      </c>
    </row>
    <row r="34" customFormat="false" ht="26.85" hidden="false" customHeight="false" outlineLevel="0" collapsed="false">
      <c r="A34" s="8" t="n">
        <v>25</v>
      </c>
      <c r="B34" s="8" t="s">
        <v>755</v>
      </c>
      <c r="C34" s="8" t="s">
        <v>756</v>
      </c>
      <c r="D34" s="15" t="n">
        <v>4</v>
      </c>
      <c r="E34" s="8" t="s">
        <v>757</v>
      </c>
      <c r="F34" s="8"/>
      <c r="G34" s="8" t="s">
        <v>758</v>
      </c>
      <c r="H34" s="8" t="s">
        <v>759</v>
      </c>
    </row>
    <row r="35" customFormat="false" ht="15" hidden="false" customHeight="false" outlineLevel="0" collapsed="false">
      <c r="A35" s="8" t="n">
        <v>26</v>
      </c>
      <c r="B35" s="8" t="s">
        <v>760</v>
      </c>
      <c r="C35" s="8" t="s">
        <v>548</v>
      </c>
      <c r="D35" s="16" t="n">
        <v>1</v>
      </c>
      <c r="E35" s="8" t="s">
        <v>761</v>
      </c>
      <c r="F35" s="8"/>
      <c r="G35" s="8"/>
      <c r="H35" s="8" t="s">
        <v>762</v>
      </c>
    </row>
    <row r="36" customFormat="false" ht="15" hidden="false" customHeight="false" outlineLevel="0" collapsed="false">
      <c r="A36" s="8" t="n">
        <v>27</v>
      </c>
      <c r="B36" s="8" t="s">
        <v>763</v>
      </c>
      <c r="C36" s="8" t="s">
        <v>764</v>
      </c>
      <c r="D36" s="38" t="n">
        <f aca="false">IF('10 Регулирование'!$D$33&gt;=90,10000,EXP(LN(INDEX('4 Таблицы'!$B$5:$B$13,MATCH('10 Регулирование'!$D$33,'4 Таблицы'!$A$5:$A$13,1)))+('10 Регулирование'!$D$33-INDEX('4 Таблицы'!$A$5:$A$13,MATCH('10 Регулирование'!$D$33,'4 Таблицы'!$A$5:$A$13,1)))/(INDEX('4 Таблицы'!$A$5:$A$13,MATCH('10 Регулирование'!$D$33,'4 Таблицы'!$A$5:$A$13,1)+1)-INDEX('4 Таблицы'!$A$5:$A$13,MATCH('10 Регулирование'!$D$33,'4 Таблицы'!$A$5:$A$13,1)))*(LN(INDEX('4 Таблицы'!$B$5:$B$13,MATCH('10 Регулирование'!$D$33,'4 Таблицы'!$A$5:$A$13,1)+1))-LN(INDEX('4 Таблицы'!$B$5:$B$13,MATCH('10 Регулирование'!$D$33,'4 Таблицы'!$A$5:$A$13,1))))))</f>
        <v>4.5</v>
      </c>
      <c r="E36" s="8" t="s">
        <v>123</v>
      </c>
      <c r="F36" s="8" t="s">
        <v>765</v>
      </c>
      <c r="G36" s="8"/>
      <c r="H36" s="8" t="s">
        <v>365</v>
      </c>
    </row>
    <row r="37" customFormat="false" ht="15" hidden="false" customHeight="false" outlineLevel="0" collapsed="false">
      <c r="A37" s="8" t="n">
        <v>28</v>
      </c>
      <c r="B37" s="8" t="s">
        <v>766</v>
      </c>
      <c r="C37" s="8" t="s">
        <v>767</v>
      </c>
      <c r="D37" s="38" t="n">
        <f aca="false">('10 Регулирование'!$D$32-'10 Регулирование'!$D$31)/'10 Регулирование'!$D$31</f>
        <v>-0.12</v>
      </c>
      <c r="E37" s="8" t="s">
        <v>123</v>
      </c>
      <c r="F37" s="8" t="s">
        <v>768</v>
      </c>
      <c r="G37" s="8" t="s">
        <v>769</v>
      </c>
      <c r="H37" s="8" t="s">
        <v>762</v>
      </c>
    </row>
    <row r="38" customFormat="false" ht="39.55" hidden="false" customHeight="false" outlineLevel="0" collapsed="false">
      <c r="A38" s="8" t="n">
        <v>29</v>
      </c>
      <c r="B38" s="8" t="s">
        <v>770</v>
      </c>
      <c r="C38" s="8" t="s">
        <v>771</v>
      </c>
      <c r="D38" s="38" t="n">
        <f aca="false">'10 Регулирование'!$D$34*'10 Регулирование'!$D$37*'10 Регулирование'!$D$35</f>
        <v>-0.48</v>
      </c>
      <c r="E38" s="8" t="s">
        <v>123</v>
      </c>
      <c r="F38" s="8" t="s">
        <v>772</v>
      </c>
      <c r="G38" s="8" t="s">
        <v>773</v>
      </c>
      <c r="H38" s="8" t="s">
        <v>774</v>
      </c>
    </row>
    <row r="39" customFormat="false" ht="26.85" hidden="false" customHeight="false" outlineLevel="0" collapsed="false">
      <c r="A39" s="8" t="n">
        <v>30</v>
      </c>
      <c r="B39" s="8" t="s">
        <v>775</v>
      </c>
      <c r="C39" s="8" t="s">
        <v>776</v>
      </c>
      <c r="D39" s="38" t="n">
        <f aca="false">EXP(MIN(INDEX('4 Таблицы'!$C$5:$C$13,8),MAX(INDEX('4 Таблицы'!$C$5:$C$13,1),LN('10 Регулирование'!$D$36)+'10 Регулирование'!$D$38)))</f>
        <v>2.78452526312763</v>
      </c>
      <c r="E39" s="8" t="s">
        <v>123</v>
      </c>
      <c r="F39" s="8" t="s">
        <v>777</v>
      </c>
      <c r="G39" s="8"/>
      <c r="H39" s="8" t="s">
        <v>762</v>
      </c>
    </row>
    <row r="40" customFormat="false" ht="26.85" hidden="false" customHeight="false" outlineLevel="0" collapsed="false">
      <c r="A40" s="8" t="n">
        <v>31</v>
      </c>
      <c r="B40" s="8" t="s">
        <v>778</v>
      </c>
      <c r="C40" s="8" t="s">
        <v>779</v>
      </c>
      <c r="D40" s="18" t="n">
        <f aca="false">IF(LN('10 Регулирование'!$D$39)&gt;=INDEX('4 Таблицы'!$C$5:$C$13,8),70,INDEX('4 Таблицы'!$A$5:$A$13,MATCH(LN('10 Регулирование'!$D$39),'4 Таблицы'!$C$5:$C$13,1))+(LN('10 Регулирование'!$D$39)-INDEX('4 Таблицы'!$C$5:$C$13,MATCH(LN('10 Регулирование'!$D$39),'4 Таблицы'!$C$5:$C$13,1)))/(INDEX('4 Таблицы'!$C$5:$C$13,MATCH(LN('10 Регулирование'!$D$39),'4 Таблицы'!$C$5:$C$13,1)+1)-INDEX('4 Таблицы'!$C$5:$C$13,MATCH(LN('10 Регулирование'!$D$39),'4 Таблицы'!$C$5:$C$13,1)))*(INDEX('4 Таблицы'!$A$5:$A$13,MATCH(LN('10 Регулирование'!$D$39),'4 Таблицы'!$C$5:$C$13,1)+1)-INDEX('4 Таблицы'!$A$5:$A$13,MATCH(LN('10 Регулирование'!$D$39),'4 Таблицы'!$C$5:$C$13,1))))</f>
        <v>25.5236198173473</v>
      </c>
      <c r="E40" s="8" t="s">
        <v>704</v>
      </c>
      <c r="F40" s="8" t="s">
        <v>780</v>
      </c>
      <c r="G40" s="8" t="s">
        <v>781</v>
      </c>
      <c r="H40" s="8" t="s">
        <v>782</v>
      </c>
    </row>
    <row r="41" customFormat="false" ht="15" hidden="false" customHeight="false" outlineLevel="0" collapsed="false">
      <c r="A41" s="8" t="n">
        <v>32</v>
      </c>
      <c r="B41" s="8" t="s">
        <v>783</v>
      </c>
      <c r="C41" s="8" t="s">
        <v>784</v>
      </c>
      <c r="D41" s="16" t="n">
        <v>8</v>
      </c>
      <c r="E41" s="8" t="s">
        <v>761</v>
      </c>
      <c r="F41" s="8"/>
      <c r="G41" s="8" t="s">
        <v>785</v>
      </c>
      <c r="H41" s="8" t="s">
        <v>786</v>
      </c>
    </row>
    <row r="42" customFormat="false" ht="15" hidden="false" customHeight="false" outlineLevel="0" collapsed="false">
      <c r="A42" s="8" t="n">
        <v>33</v>
      </c>
      <c r="B42" s="8" t="s">
        <v>787</v>
      </c>
      <c r="C42" s="8" t="s">
        <v>788</v>
      </c>
      <c r="D42" s="57" t="n">
        <f aca="false">90/'10 Регулирование'!$D$41</f>
        <v>11.25</v>
      </c>
      <c r="E42" s="8" t="s">
        <v>789</v>
      </c>
      <c r="F42" s="8" t="s">
        <v>790</v>
      </c>
      <c r="G42" s="8"/>
      <c r="H42" s="8"/>
    </row>
    <row r="43" customFormat="false" ht="15" hidden="false" customHeight="false" outlineLevel="0" collapsed="false">
      <c r="A43" s="8" t="n">
        <v>34</v>
      </c>
      <c r="B43" s="8" t="s">
        <v>791</v>
      </c>
      <c r="C43" s="8" t="s">
        <v>792</v>
      </c>
      <c r="D43" s="18" t="n">
        <f aca="false">SIGN('10 Регулирование'!$D$40-'10 Регулирование'!$D$33)*MIN(ABS('10 Регулирование'!$D$40-'10 Регулирование'!$D$33),'10 Регулирование'!$D$42*'10 Регулирование'!$D$35)</f>
        <v>-4.4763801826527</v>
      </c>
      <c r="E43" s="8" t="s">
        <v>704</v>
      </c>
      <c r="F43" s="8" t="s">
        <v>793</v>
      </c>
      <c r="G43" s="8" t="s">
        <v>794</v>
      </c>
      <c r="H43" s="8" t="s">
        <v>762</v>
      </c>
    </row>
    <row r="44" customFormat="false" ht="15" hidden="false" customHeight="false" outlineLevel="0" collapsed="false">
      <c r="A44" s="11" t="s">
        <v>795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8" t="n">
        <v>35</v>
      </c>
      <c r="B45" s="8" t="s">
        <v>796</v>
      </c>
      <c r="C45" s="8" t="s">
        <v>797</v>
      </c>
      <c r="D45" s="15" t="n">
        <v>8</v>
      </c>
      <c r="E45" s="8" t="s">
        <v>704</v>
      </c>
      <c r="F45" s="8"/>
      <c r="G45" s="8"/>
      <c r="H45" s="8" t="s">
        <v>752</v>
      </c>
    </row>
    <row r="46" customFormat="false" ht="15" hidden="false" customHeight="false" outlineLevel="0" collapsed="false">
      <c r="A46" s="8" t="n">
        <v>36</v>
      </c>
      <c r="B46" s="8" t="s">
        <v>798</v>
      </c>
      <c r="C46" s="8" t="s">
        <v>799</v>
      </c>
      <c r="D46" s="15" t="n">
        <v>12</v>
      </c>
      <c r="E46" s="8" t="s">
        <v>704</v>
      </c>
      <c r="F46" s="8"/>
      <c r="G46" s="8"/>
      <c r="H46" s="8" t="s">
        <v>752</v>
      </c>
    </row>
    <row r="47" customFormat="false" ht="15" hidden="false" customHeight="false" outlineLevel="0" collapsed="false">
      <c r="A47" s="8" t="n">
        <v>37</v>
      </c>
      <c r="B47" s="8" t="s">
        <v>800</v>
      </c>
      <c r="C47" s="8" t="s">
        <v>801</v>
      </c>
      <c r="D47" s="15" t="n">
        <v>15</v>
      </c>
      <c r="E47" s="8" t="s">
        <v>704</v>
      </c>
      <c r="F47" s="8"/>
      <c r="G47" s="8"/>
      <c r="H47" s="8" t="s">
        <v>752</v>
      </c>
    </row>
    <row r="48" customFormat="false" ht="26.85" hidden="false" customHeight="false" outlineLevel="0" collapsed="false">
      <c r="A48" s="8" t="n">
        <v>38</v>
      </c>
      <c r="B48" s="8" t="s">
        <v>802</v>
      </c>
      <c r="C48" s="8" t="s">
        <v>803</v>
      </c>
      <c r="D48" s="12" t="n">
        <v>0</v>
      </c>
      <c r="E48" s="8" t="s">
        <v>123</v>
      </c>
      <c r="F48" s="8" t="s">
        <v>804</v>
      </c>
      <c r="G48" s="8"/>
      <c r="H48" s="8" t="s">
        <v>752</v>
      </c>
    </row>
    <row r="49" customFormat="false" ht="15" hidden="false" customHeight="false" outlineLevel="0" collapsed="false">
      <c r="A49" s="8" t="n">
        <v>39</v>
      </c>
      <c r="B49" s="8" t="s">
        <v>805</v>
      </c>
      <c r="C49" s="8" t="s">
        <v>806</v>
      </c>
      <c r="D49" s="53" t="n">
        <f aca="false">MIN('10 Регулирование'!$D$45,'10 Регулирование'!$D$46,'10 Регулирование'!$D$47)</f>
        <v>8</v>
      </c>
      <c r="E49" s="8" t="s">
        <v>704</v>
      </c>
      <c r="F49" s="8"/>
      <c r="G49" s="8"/>
      <c r="H49" s="8"/>
    </row>
    <row r="50" customFormat="false" ht="39.55" hidden="false" customHeight="false" outlineLevel="0" collapsed="false">
      <c r="A50" s="8" t="n">
        <v>40</v>
      </c>
      <c r="B50" s="8" t="s">
        <v>807</v>
      </c>
      <c r="C50" s="8" t="s">
        <v>808</v>
      </c>
      <c r="D50" s="53" t="n">
        <f aca="false">IF(AND('10 Регулирование'!$D$49&lt;2,'10 Регулирование'!$D$48&gt;0.002),400*'10 Регулирование'!$D$48*'10 Регулирование'!$D$35,IF('10 Регулирование'!$D$49&gt;5,-1*('10 Регулирование'!$D$49-5)*'10 Регулирование'!$D$35,0))</f>
        <v>-3</v>
      </c>
      <c r="E50" s="8" t="s">
        <v>479</v>
      </c>
      <c r="F50" s="8" t="s">
        <v>809</v>
      </c>
      <c r="G50" s="8" t="s">
        <v>810</v>
      </c>
      <c r="H50" s="8" t="s">
        <v>811</v>
      </c>
    </row>
    <row r="51" customFormat="false" ht="15" hidden="false" customHeight="false" outlineLevel="0" collapsed="false">
      <c r="A51" s="11" t="s">
        <v>812</v>
      </c>
      <c r="B51" s="11"/>
      <c r="C51" s="11"/>
      <c r="D51" s="11"/>
      <c r="E51" s="11"/>
      <c r="F51" s="11"/>
      <c r="G51" s="11"/>
      <c r="H51" s="11"/>
    </row>
    <row r="52" customFormat="false" ht="26.85" hidden="false" customHeight="false" outlineLevel="0" collapsed="false">
      <c r="A52" s="8" t="n">
        <v>41</v>
      </c>
      <c r="B52" s="8" t="s">
        <v>813</v>
      </c>
      <c r="C52" s="8"/>
      <c r="D52" s="58" t="n">
        <v>0.018</v>
      </c>
      <c r="E52" s="8" t="s">
        <v>123</v>
      </c>
      <c r="F52" s="8"/>
      <c r="G52" s="8" t="s">
        <v>814</v>
      </c>
      <c r="H52" s="8" t="s">
        <v>815</v>
      </c>
    </row>
    <row r="53" customFormat="false" ht="26.85" hidden="false" customHeight="false" outlineLevel="0" collapsed="false">
      <c r="A53" s="8" t="n">
        <v>42</v>
      </c>
      <c r="B53" s="8" t="s">
        <v>816</v>
      </c>
      <c r="C53" s="8"/>
      <c r="D53" s="59" t="n">
        <v>0.082</v>
      </c>
      <c r="E53" s="8" t="s">
        <v>192</v>
      </c>
      <c r="F53" s="8"/>
      <c r="G53" s="8" t="s">
        <v>817</v>
      </c>
      <c r="H53" s="8" t="s">
        <v>483</v>
      </c>
    </row>
    <row r="54" customFormat="false" ht="26.85" hidden="false" customHeight="false" outlineLevel="0" collapsed="false">
      <c r="A54" s="8" t="n">
        <v>43</v>
      </c>
      <c r="B54" s="8" t="s">
        <v>818</v>
      </c>
      <c r="C54" s="8"/>
      <c r="D54" s="58" t="n">
        <v>0.075</v>
      </c>
      <c r="E54" s="8" t="s">
        <v>123</v>
      </c>
      <c r="F54" s="8"/>
      <c r="G54" s="8" t="s">
        <v>819</v>
      </c>
      <c r="H54" s="8" t="s">
        <v>815</v>
      </c>
    </row>
    <row r="55" customFormat="false" ht="26.85" hidden="false" customHeight="false" outlineLevel="0" collapsed="false">
      <c r="A55" s="8" t="n">
        <v>44</v>
      </c>
      <c r="B55" s="8" t="s">
        <v>820</v>
      </c>
      <c r="C55" s="8"/>
      <c r="D55" s="59" t="n">
        <v>0.089</v>
      </c>
      <c r="E55" s="8" t="s">
        <v>192</v>
      </c>
      <c r="F55" s="8"/>
      <c r="G55" s="8" t="s">
        <v>817</v>
      </c>
      <c r="H55" s="8" t="s">
        <v>483</v>
      </c>
    </row>
    <row r="56" customFormat="false" ht="26.85" hidden="false" customHeight="false" outlineLevel="0" collapsed="false">
      <c r="A56" s="8" t="n">
        <v>45</v>
      </c>
      <c r="B56" s="8" t="s">
        <v>821</v>
      </c>
      <c r="C56" s="8"/>
      <c r="D56" s="58" t="n">
        <v>0.191</v>
      </c>
      <c r="E56" s="8" t="s">
        <v>123</v>
      </c>
      <c r="F56" s="8"/>
      <c r="G56" s="8"/>
      <c r="H56" s="8" t="s">
        <v>815</v>
      </c>
    </row>
    <row r="57" customFormat="false" ht="26.85" hidden="false" customHeight="false" outlineLevel="0" collapsed="false">
      <c r="A57" s="8" t="n">
        <v>46</v>
      </c>
      <c r="B57" s="8" t="s">
        <v>822</v>
      </c>
      <c r="C57" s="8"/>
      <c r="D57" s="59" t="n">
        <v>0.11</v>
      </c>
      <c r="E57" s="8" t="s">
        <v>192</v>
      </c>
      <c r="F57" s="8"/>
      <c r="G57" s="8" t="s">
        <v>817</v>
      </c>
      <c r="H57" s="8" t="s">
        <v>483</v>
      </c>
    </row>
    <row r="58" customFormat="false" ht="26.85" hidden="false" customHeight="false" outlineLevel="0" collapsed="false">
      <c r="A58" s="8" t="n">
        <v>47</v>
      </c>
      <c r="B58" s="8" t="s">
        <v>823</v>
      </c>
      <c r="C58" s="8"/>
      <c r="D58" s="58" t="n">
        <v>0.79</v>
      </c>
      <c r="E58" s="8" t="s">
        <v>123</v>
      </c>
      <c r="F58" s="8"/>
      <c r="G58" s="8" t="s">
        <v>824</v>
      </c>
      <c r="H58" s="8" t="s">
        <v>815</v>
      </c>
    </row>
    <row r="59" customFormat="false" ht="26.85" hidden="false" customHeight="false" outlineLevel="0" collapsed="false">
      <c r="A59" s="8" t="n">
        <v>48</v>
      </c>
      <c r="B59" s="8" t="s">
        <v>825</v>
      </c>
      <c r="C59" s="8"/>
      <c r="D59" s="59" t="n">
        <v>0.266</v>
      </c>
      <c r="E59" s="8" t="s">
        <v>192</v>
      </c>
      <c r="F59" s="8"/>
      <c r="G59" s="8" t="s">
        <v>826</v>
      </c>
      <c r="H59" s="8" t="s">
        <v>483</v>
      </c>
    </row>
  </sheetData>
  <mergeCells count="8">
    <mergeCell ref="A2:H2"/>
    <mergeCell ref="A5:H5"/>
    <mergeCell ref="B18:H18"/>
    <mergeCell ref="A19:H19"/>
    <mergeCell ref="B29:H29"/>
    <mergeCell ref="A30:H30"/>
    <mergeCell ref="A44:H44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827</v>
      </c>
    </row>
    <row r="2" customFormat="false" ht="60" hidden="false" customHeight="true" outlineLevel="0" collapsed="false">
      <c r="A2" s="10" t="s">
        <v>828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26.85" hidden="false" customHeight="false" outlineLevel="0" collapsed="false">
      <c r="A5" s="8" t="n">
        <v>1</v>
      </c>
      <c r="B5" s="8" t="s">
        <v>225</v>
      </c>
      <c r="C5" s="8" t="s">
        <v>226</v>
      </c>
      <c r="D5" s="19" t="n">
        <f aca="false">'1 Исходные'!$D$35</f>
        <v>16588.8</v>
      </c>
      <c r="E5" s="8" t="s">
        <v>227</v>
      </c>
      <c r="F5" s="8" t="s">
        <v>829</v>
      </c>
      <c r="G5" s="8" t="s">
        <v>830</v>
      </c>
      <c r="H5" s="8" t="s">
        <v>57</v>
      </c>
    </row>
    <row r="6" customFormat="false" ht="15" hidden="false" customHeight="false" outlineLevel="0" collapsed="false">
      <c r="A6" s="8" t="n">
        <v>2</v>
      </c>
      <c r="B6" s="8" t="s">
        <v>552</v>
      </c>
      <c r="C6" s="8" t="s">
        <v>303</v>
      </c>
      <c r="D6" s="52" t="n">
        <f aca="false">'3 СП 60'!$D$10</f>
        <v>12601.4486494975</v>
      </c>
      <c r="E6" s="8" t="s">
        <v>167</v>
      </c>
      <c r="F6" s="8"/>
      <c r="G6" s="8"/>
      <c r="H6" s="8" t="s">
        <v>42</v>
      </c>
    </row>
    <row r="7" customFormat="false" ht="15" hidden="false" customHeight="false" outlineLevel="0" collapsed="false">
      <c r="A7" s="8" t="n">
        <v>3</v>
      </c>
      <c r="B7" s="8" t="s">
        <v>831</v>
      </c>
      <c r="C7" s="8" t="s">
        <v>832</v>
      </c>
      <c r="D7" s="52" t="n">
        <f aca="false">'2 Выделения'!$D$17</f>
        <v>2507.68828125</v>
      </c>
      <c r="E7" s="8" t="s">
        <v>265</v>
      </c>
      <c r="F7" s="8"/>
      <c r="G7" s="8"/>
      <c r="H7" s="8" t="s">
        <v>100</v>
      </c>
    </row>
    <row r="8" customFormat="false" ht="15" hidden="false" customHeight="false" outlineLevel="0" collapsed="false">
      <c r="A8" s="8" t="n">
        <v>4</v>
      </c>
      <c r="B8" s="8" t="s">
        <v>833</v>
      </c>
      <c r="C8" s="8" t="s">
        <v>296</v>
      </c>
      <c r="D8" s="19" t="n">
        <f aca="false">'1 Исходные'!$D$26</f>
        <v>0.001</v>
      </c>
      <c r="E8" s="8" t="s">
        <v>192</v>
      </c>
      <c r="F8" s="8"/>
      <c r="G8" s="8"/>
      <c r="H8" s="8" t="s">
        <v>57</v>
      </c>
    </row>
    <row r="9" customFormat="false" ht="26.85" hidden="false" customHeight="false" outlineLevel="0" collapsed="false">
      <c r="A9" s="8" t="n">
        <v>5</v>
      </c>
      <c r="B9" s="8" t="s">
        <v>834</v>
      </c>
      <c r="C9" s="8" t="s">
        <v>835</v>
      </c>
      <c r="D9" s="18" t="n">
        <f aca="false">'11 Динамика'!$D$5/'11 Динамика'!$D$6</f>
        <v>1.31642007688231</v>
      </c>
      <c r="E9" s="8" t="s">
        <v>223</v>
      </c>
      <c r="F9" s="8" t="s">
        <v>836</v>
      </c>
      <c r="G9" s="8" t="s">
        <v>837</v>
      </c>
      <c r="H9" s="8" t="s">
        <v>838</v>
      </c>
    </row>
    <row r="10" customFormat="false" ht="15" hidden="false" customHeight="false" outlineLevel="0" collapsed="false">
      <c r="A10" s="8" t="n">
        <v>6</v>
      </c>
      <c r="B10" s="8" t="s">
        <v>839</v>
      </c>
      <c r="C10" s="8" t="s">
        <v>835</v>
      </c>
      <c r="D10" s="52" t="n">
        <f aca="false">'11 Динамика'!$D$9*60</f>
        <v>78.9852046129388</v>
      </c>
      <c r="E10" s="8" t="s">
        <v>840</v>
      </c>
      <c r="F10" s="8"/>
      <c r="G10" s="8"/>
      <c r="H10" s="8"/>
    </row>
    <row r="11" customFormat="false" ht="15" hidden="false" customHeight="false" outlineLevel="0" collapsed="false">
      <c r="A11" s="8" t="n">
        <v>7</v>
      </c>
      <c r="B11" s="8" t="s">
        <v>841</v>
      </c>
      <c r="C11" s="8" t="s">
        <v>842</v>
      </c>
      <c r="D11" s="38" t="n">
        <f aca="false">'11 Динамика'!$D$8+'11 Динамика'!$D$7/'11 Динамика'!$D$6</f>
        <v>0.2</v>
      </c>
      <c r="E11" s="8" t="s">
        <v>192</v>
      </c>
      <c r="F11" s="8" t="s">
        <v>843</v>
      </c>
      <c r="G11" s="8" t="s">
        <v>844</v>
      </c>
      <c r="H11" s="8"/>
    </row>
    <row r="12" customFormat="false" ht="15" hidden="false" customHeight="false" outlineLevel="0" collapsed="false">
      <c r="B12" s="60" t="s">
        <v>845</v>
      </c>
      <c r="C12" s="60" t="s">
        <v>846</v>
      </c>
      <c r="D12" s="60" t="s">
        <v>847</v>
      </c>
      <c r="E12" s="60" t="s">
        <v>848</v>
      </c>
      <c r="F12" s="60" t="s">
        <v>849</v>
      </c>
    </row>
    <row r="13" customFormat="false" ht="15" hidden="false" customHeight="false" outlineLevel="0" collapsed="false">
      <c r="B13" s="61" t="n">
        <v>0.5</v>
      </c>
      <c r="C13" s="33" t="n">
        <f aca="false">'11 Динамика'!$D$8+'11 Динамика'!$D$7/'11 Динамика'!$D$6*(1-EXP(-B13/'11 Динамика'!$D$9))</f>
        <v>0.0638868050056159</v>
      </c>
      <c r="D13" s="62" t="n">
        <v>0.0638922600857928</v>
      </c>
      <c r="E13" s="63" t="n">
        <f aca="false">ABS(C13-D13)/D13</f>
        <v>8.53793584632849E-005</v>
      </c>
      <c r="F13" s="64" t="n">
        <f aca="false">C13/'1 Исходные'!$D$25</f>
        <v>0.31943402502808</v>
      </c>
    </row>
    <row r="14" customFormat="false" ht="15" hidden="false" customHeight="false" outlineLevel="0" collapsed="false">
      <c r="B14" s="61" t="n">
        <v>1</v>
      </c>
      <c r="C14" s="33" t="n">
        <f aca="false">'11 Динамика'!$D$8+'11 Динамика'!$D$7/'11 Динамика'!$D$6*(1-EXP(-B14/'11 Динамика'!$D$9))</f>
        <v>0.106900493208145</v>
      </c>
      <c r="D14" s="62" t="n">
        <v>0.106907955454505</v>
      </c>
      <c r="E14" s="63" t="n">
        <f aca="false">ABS(C14-D14)/D14</f>
        <v>6.980066477551E-005</v>
      </c>
      <c r="F14" s="64" t="n">
        <f aca="false">C14/'1 Исходные'!$D$25</f>
        <v>0.534502466040723</v>
      </c>
    </row>
    <row r="15" customFormat="false" ht="15" hidden="false" customHeight="false" outlineLevel="0" collapsed="false">
      <c r="B15" s="61" t="n">
        <v>1.5</v>
      </c>
      <c r="C15" s="33" t="n">
        <f aca="false">'11 Динамика'!$D$8+'11 Динамика'!$D$7/'11 Динамика'!$D$6*(1-EXP(-B15/'11 Динамика'!$D$9))</f>
        <v>0.136321249638991</v>
      </c>
      <c r="D15" s="62" t="n">
        <v>0.136328905592563</v>
      </c>
      <c r="E15" s="63" t="n">
        <f aca="false">ABS(C15-D15)/D15</f>
        <v>5.6157962529383E-005</v>
      </c>
      <c r="F15" s="64" t="n">
        <f aca="false">C15/'1 Исходные'!$D$25</f>
        <v>0.681606248194955</v>
      </c>
    </row>
    <row r="16" customFormat="false" ht="15" hidden="false" customHeight="false" outlineLevel="0" collapsed="false">
      <c r="B16" s="61" t="n">
        <v>2</v>
      </c>
      <c r="C16" s="33" t="n">
        <f aca="false">'11 Динамика'!$D$8+'11 Динамика'!$D$7/'11 Динамика'!$D$6*(1-EXP(-B16/'11 Динамика'!$D$9))</f>
        <v>0.156444632337253</v>
      </c>
      <c r="D16" s="62" t="n">
        <v>0.156451614283114</v>
      </c>
      <c r="E16" s="63" t="n">
        <f aca="false">ABS(C16-D16)/D16</f>
        <v>4.46268700586155E-005</v>
      </c>
      <c r="F16" s="64" t="n">
        <f aca="false">C16/'1 Исходные'!$D$25</f>
        <v>0.782223161686263</v>
      </c>
    </row>
    <row r="17" customFormat="false" ht="15" hidden="false" customHeight="false" outlineLevel="0" collapsed="false">
      <c r="B17" s="61" t="n">
        <v>2.5</v>
      </c>
      <c r="C17" s="33" t="n">
        <f aca="false">'11 Динамика'!$D$8+'11 Динамика'!$D$7/'11 Динамика'!$D$6*(1-EXP(-B17/'11 Динамика'!$D$9))</f>
        <v>0.17020874245361</v>
      </c>
      <c r="D17" s="62" t="n">
        <v>0.170214711774686</v>
      </c>
      <c r="E17" s="63" t="n">
        <f aca="false">ABS(C17-D17)/D17</f>
        <v>3.50693604215178E-005</v>
      </c>
      <c r="F17" s="64" t="n">
        <f aca="false">C17/'1 Исходные'!$D$25</f>
        <v>0.85104371226805</v>
      </c>
    </row>
    <row r="18" customFormat="false" ht="15" hidden="false" customHeight="false" outlineLevel="0" collapsed="false">
      <c r="B18" s="61" t="n">
        <v>3</v>
      </c>
      <c r="C18" s="33" t="n">
        <f aca="false">'11 Динамика'!$D$8+'11 Динамика'!$D$7/'11 Динамика'!$D$6*(1-EXP(-B18/'11 Динамика'!$D$9))</f>
        <v>0.179623199761107</v>
      </c>
      <c r="D18" s="62" t="n">
        <v>0.1796280991807</v>
      </c>
      <c r="E18" s="63" t="n">
        <f aca="false">ABS(C18-D18)/D18</f>
        <v>2.72753517687003E-005</v>
      </c>
      <c r="F18" s="64" t="n">
        <f aca="false">C18/'1 Исходные'!$D$25</f>
        <v>0.898115998805535</v>
      </c>
    </row>
    <row r="19" customFormat="false" ht="15" hidden="false" customHeight="false" outlineLevel="0" collapsed="false">
      <c r="B19" s="61" t="n">
        <v>3.5</v>
      </c>
      <c r="C19" s="33" t="n">
        <f aca="false">'11 Динамика'!$D$8+'11 Динамика'!$D$7/'11 Динамика'!$D$6*(1-EXP(-B19/'11 Динамика'!$D$9))</f>
        <v>0.186062555857899</v>
      </c>
      <c r="D19" s="62" t="n">
        <v>0.186066465435822</v>
      </c>
      <c r="E19" s="63" t="n">
        <f aca="false">ABS(C19-D19)/D19</f>
        <v>2.10117277931869E-005</v>
      </c>
      <c r="F19" s="64" t="n">
        <f aca="false">C19/'1 Исходные'!$D$25</f>
        <v>0.930312779289496</v>
      </c>
    </row>
    <row r="20" customFormat="false" ht="15" hidden="false" customHeight="false" outlineLevel="0" collapsed="false">
      <c r="B20" s="61" t="n">
        <v>4</v>
      </c>
      <c r="C20" s="33" t="n">
        <f aca="false">'11 Динамика'!$D$8+'11 Динамика'!$D$7/'11 Динамика'!$D$6*(1-EXP(-B20/'11 Динамика'!$D$9))</f>
        <v>0.190466984662125</v>
      </c>
      <c r="D20" s="62" t="n">
        <v>0.190470040710821</v>
      </c>
      <c r="E20" s="63" t="n">
        <f aca="false">ABS(C20-D20)/D20</f>
        <v>1.60447736780805E-005</v>
      </c>
      <c r="F20" s="64" t="n">
        <f aca="false">C20/'1 Исходные'!$D$25</f>
        <v>0.952334923310626</v>
      </c>
    </row>
    <row r="21" customFormat="false" ht="15" hidden="false" customHeight="false" outlineLevel="0" collapsed="false">
      <c r="B21" s="61" t="n">
        <v>4.5</v>
      </c>
      <c r="C21" s="33" t="n">
        <f aca="false">'11 Динамика'!$D$8+'11 Динамика'!$D$7/'11 Динамика'!$D$6*(1-EXP(-B21/'11 Динамика'!$D$9))</f>
        <v>0.193479551881565</v>
      </c>
      <c r="D21" s="62" t="n">
        <v>0.193481903415454</v>
      </c>
      <c r="E21" s="63" t="n">
        <f aca="false">ABS(C21-D21)/D21</f>
        <v>1.21537665696098E-005</v>
      </c>
      <c r="F21" s="64" t="n">
        <f aca="false">C21/'1 Исходные'!$D$25</f>
        <v>0.967397759407824</v>
      </c>
    </row>
    <row r="22" customFormat="false" ht="15" hidden="false" customHeight="false" outlineLevel="0" collapsed="false">
      <c r="B22" s="61" t="n">
        <v>5</v>
      </c>
      <c r="C22" s="33" t="n">
        <f aca="false">'11 Динамика'!$D$8+'11 Динамика'!$D$7/'11 Динамика'!$D$6*(1-EXP(-B22/'11 Динамика'!$D$9))</f>
        <v>0.195540105396003</v>
      </c>
      <c r="D22" s="62" t="n">
        <v>0.195541892489121</v>
      </c>
      <c r="E22" s="63" t="n">
        <f aca="false">ABS(C22-D22)/D22</f>
        <v>9.13918288523854E-006</v>
      </c>
      <c r="F22" s="64" t="n">
        <f aca="false">C22/'1 Исходные'!$D$25</f>
        <v>0.977700526980017</v>
      </c>
    </row>
    <row r="23" customFormat="false" ht="15" hidden="false" customHeight="false" outlineLevel="0" collapsed="false">
      <c r="B23" s="61" t="n">
        <v>5.5</v>
      </c>
      <c r="C23" s="33" t="n">
        <f aca="false">'11 Динамика'!$D$8+'11 Динамика'!$D$7/'11 Динамика'!$D$6*(1-EXP(-B23/'11 Динамика'!$D$9))</f>
        <v>0.196949494955336</v>
      </c>
      <c r="D23" s="62" t="n">
        <v>0.196950839509546</v>
      </c>
      <c r="E23" s="63" t="n">
        <f aca="false">ABS(C23-D23)/D23</f>
        <v>6.82685188646944E-006</v>
      </c>
      <c r="F23" s="64" t="n">
        <f aca="false">C23/'1 Исходные'!$D$25</f>
        <v>0.984747474776678</v>
      </c>
    </row>
    <row r="24" customFormat="false" ht="15" hidden="false" customHeight="false" outlineLevel="0" collapsed="false">
      <c r="B24" s="61" t="n">
        <v>6</v>
      </c>
      <c r="C24" s="33" t="n">
        <f aca="false">'11 Динамика'!$D$8+'11 Динамика'!$D$7/'11 Динамика'!$D$6*(1-EXP(-B24/'11 Динамика'!$D$9))</f>
        <v>0.197913497547861</v>
      </c>
      <c r="D24" s="62" t="n">
        <v>0.197914500788988</v>
      </c>
      <c r="E24" s="63" t="n">
        <f aca="false">ABS(C24-D24)/D24</f>
        <v>5.06906327399108E-006</v>
      </c>
      <c r="F24" s="64" t="n">
        <f aca="false">C24/'1 Исходные'!$D$25</f>
        <v>0.989567487739303</v>
      </c>
    </row>
    <row r="25" customFormat="false" ht="15" hidden="false" customHeight="false" outlineLevel="0" collapsed="false">
      <c r="B25" s="61" t="n">
        <v>6.5</v>
      </c>
      <c r="C25" s="33" t="n">
        <f aca="false">'11 Динамика'!$D$8+'11 Динамика'!$D$7/'11 Динамика'!$D$6*(1-EXP(-B25/'11 Динамика'!$D$9))</f>
        <v>0.198572861733044</v>
      </c>
      <c r="D25" s="62" t="n">
        <v>0.198573605104504</v>
      </c>
      <c r="E25" s="63" t="n">
        <f aca="false">ABS(C25-D25)/D25</f>
        <v>3.74355624886664E-006</v>
      </c>
      <c r="F25" s="64" t="n">
        <f aca="false">C25/'1 Исходные'!$D$25</f>
        <v>0.992864308665218</v>
      </c>
    </row>
    <row r="26" customFormat="false" ht="15" hidden="false" customHeight="false" outlineLevel="0" collapsed="false">
      <c r="B26" s="61" t="n">
        <v>7</v>
      </c>
      <c r="C26" s="33" t="n">
        <f aca="false">'11 Динамика'!$D$8+'11 Динамика'!$D$7/'11 Динамика'!$D$6*(1-EXP(-B26/'11 Динамика'!$D$9))</f>
        <v>0.199023857541637</v>
      </c>
      <c r="D26" s="62" t="n">
        <v>0.199024405098236</v>
      </c>
      <c r="E26" s="63" t="n">
        <f aca="false">ABS(C26-D26)/D26</f>
        <v>2.75120329206184E-006</v>
      </c>
      <c r="F26" s="64" t="n">
        <f aca="false">C26/'1 Исходные'!$D$25</f>
        <v>0.995119287708186</v>
      </c>
    </row>
    <row r="27" customFormat="false" ht="15" hidden="false" customHeight="false" outlineLevel="0" collapsed="false">
      <c r="B27" s="61" t="n">
        <v>7.5</v>
      </c>
      <c r="C27" s="33" t="n">
        <f aca="false">'11 Динамика'!$D$8+'11 Динамика'!$D$7/'11 Динамика'!$D$6*(1-EXP(-B27/'11 Динамика'!$D$9))</f>
        <v>0.199332332317701</v>
      </c>
      <c r="D27" s="62" t="n">
        <v>0.199332733582156</v>
      </c>
      <c r="E27" s="63" t="n">
        <f aca="false">ABS(C27-D27)/D27</f>
        <v>2.01303843763798E-006</v>
      </c>
      <c r="F27" s="64" t="n">
        <f aca="false">C27/'1 Исходные'!$D$25</f>
        <v>0.996661661588507</v>
      </c>
    </row>
    <row r="28" customFormat="false" ht="15" hidden="false" customHeight="false" outlineLevel="0" collapsed="false">
      <c r="B28" s="61" t="n">
        <v>8</v>
      </c>
      <c r="C28" s="33" t="n">
        <f aca="false">'11 Динамика'!$D$8+'11 Динамика'!$D$7/'11 Динамика'!$D$6*(1-EXP(-B28/'11 Динамика'!$D$9))</f>
        <v>0.199543324716421</v>
      </c>
      <c r="D28" s="62" t="n">
        <v>0.199543617467069</v>
      </c>
      <c r="E28" s="63" t="n">
        <f aca="false">ABS(C28-D28)/D28</f>
        <v>1.46710103226778E-006</v>
      </c>
      <c r="F28" s="64" t="n">
        <f aca="false">C28/'1 Исходные'!$D$25</f>
        <v>0.997716623582107</v>
      </c>
    </row>
    <row r="29" customFormat="false" ht="30" hidden="false" customHeight="true" outlineLevel="0" collapsed="false">
      <c r="B29" s="10" t="s">
        <v>850</v>
      </c>
      <c r="C29" s="10"/>
      <c r="D29" s="10"/>
      <c r="E29" s="10"/>
      <c r="F29" s="10"/>
      <c r="G29" s="10"/>
      <c r="H29" s="10"/>
    </row>
  </sheetData>
  <mergeCells count="2">
    <mergeCell ref="A2:H2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2026-10-17T20:55:28Z</dcterms:created>
  <dc:creator>openpyxl</dc:creator>
  <dc:description/>
  <dc:language>en-US</dc:language>
  <cp:lastModifiedBy/>
  <dcterms:modified xsi:type="dcterms:W3CDTF">2026-10-17T20:55:28Z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