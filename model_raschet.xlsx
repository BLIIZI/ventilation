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<sst xmlns="http://schemas.openxmlformats.org/spreadsheetml/2006/main" count="1228" uniqueCount="822">
  <si>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</si>
  <si>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</si>
  <si>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</si>
  <si>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</si>
  <si>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</si>
  <si>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</si>
  <si>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</si>
  <si>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</si>
  <si>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</si>
  <si>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</si>
  <si>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</si>
  <si>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</si>
  <si>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</si>
  <si>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</si>
  <si>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</si>
  <si>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</si>
  <si>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</si>
  <si>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</si>
  <si>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</si>
  <si>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</si>
  <si>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</si>
  <si>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(почему углы 0/5/8°),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</si>
  <si>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</si>
  <si>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</si>
  <si>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</si>
  <si>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</si>
  <si>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</si>
  <si>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</si>
  <si>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</si>
  <si>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</si>
  <si>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</si>
  <si>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</si>
  <si>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</si>
  <si>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</si>
  <si>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</si>
  <si>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</si>
  <si>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</si>
  <si>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</si>
  <si>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</si>
  <si>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</si>
  <si>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</si>
  <si>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</si>
  <si>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</si>
  <si>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</si>
  <si>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</si>
  <si>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</si>
  <si>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</si>
  <si>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</si>
  <si>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</si>
  <si>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</si>
  <si>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</si>
  <si>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</si>
  <si>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</si>
  <si>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</si>
  <si>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</si>
  <si>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</si>
  <si>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</si>
  <si>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</si>
  <si>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</si>
  <si>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</si>
  <si>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</si>
  <si>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</si>
  <si>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</si>
  <si>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</si>
  <si>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</si>
  <si>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</si>
  <si>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</si>
  <si>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</si>
  <si>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</si>
  <si>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</si>
  <si>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</si>
  <si>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</si>
  <si>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</si>
  <si>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</si>
  <si>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</si>
  <si>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</si>
  <si>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</si>
  <si>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</si>
  <si>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</si>
  <si>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</si>
  <si>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</si>
  <si>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</si>
  <si>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</si>
  <si>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</si>
  <si>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</si>
  <si>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</si>
  <si>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</si>
  <si>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</si>
  <si>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</si>
  <si>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</si>
  <si>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</si>
  <si>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</si>
  <si>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</si>
  <si>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</si>
  <si>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</si>
  <si>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</si>
  <si>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</si>
  <si>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</si>
  <si>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</si>
  <si>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</si>
  <si>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</si>
  <si>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</si>
  <si>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</si>
  <si>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</si>
  <si>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</si>
  <si>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</si>
  <si>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</si>
  <si>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</si>
  <si>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</si>
  <si>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</si>
  <si>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</si>
  <si>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</si>
  <si>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</si>
  <si>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</si>
  <si>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</si>
  <si>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</si>
  <si>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</si>
  <si>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</si>
  <si>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</si>
  <si>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</si>
  <si>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</si>
  <si>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</si>
  <si>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</si>
  <si>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</si>
  <si>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</si>
  <si>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</si>
  <si>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</si>
  <si>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</si>
  <si>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</si>
  <si>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</si>
  <si>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</si>
  <si>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</si>
  <si>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</si>
  <si>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</si>
  <si>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</si>
  <si>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</si>
  <si>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</si>
  <si>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</si>
  <si>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</si>
  <si>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</si>
  <si>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</si>
  <si>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</si>
  <si>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</si>
  <si>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</si>
  <si>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</si>
  <si>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</si>
  <si>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</si>
  <si>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</si>
  <si>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</si>
  <si>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</si>
  <si>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</si>
  <si>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</si>
  <si>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</si>
  <si>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</si>
  <si>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</si>
  <si>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</si>
  <si>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</si>
  <si>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</si>
  <si>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</si>
  <si>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</si>
  <si>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</si>
  <si>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</si>
  <si>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</si>
  <si>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</si>
  <si>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</si>
  <si>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</si>
  <si>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</si>
  <si>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</si>
  <si>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</si>
  <si>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</si>
  <si>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</si>
  <si>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</si>
  <si>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</si>
  <si>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</si>
  <si>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</si>
  <si>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</si>
  <si>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</si>
  <si>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</si>
  <si>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</si>
  <si>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</si>
  <si>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</si>
  <si>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</si>
  <si>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</si>
  <si>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</si>
  <si>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</si>
  <si>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</si>
  <si>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</si>
  <si>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</si>
  <si>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</si>
  <si>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</si>
  <si>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</si>
  <si>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</si>
  <si>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</si>
  <si>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</si>
  <si>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</si>
  <si>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</si>
  <si>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</si>
  <si>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</si>
  <si>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</si>
  <si>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</si>
  <si>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</si>
  <si>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</si>
  <si>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</si>
  <si>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</si>
  <si>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</si>
  <si>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</si>
  <si>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</si>
  <si>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</si>
  <si>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</si>
  <si>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</si>
  <si>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</si>
  <si>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</si>
  <si>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</si>
  <si>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</si>
  <si>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</si>
  <si>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</si>
  <si>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</si>
  <si>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</si>
  <si>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</si>
  <si>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</si>
  <si>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</si>
  <si>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</si>
  <si>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</si>
  <si>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</si>
  <si>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</si>
  <si>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</si>
  <si>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</si>
  <si>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</si>
  <si>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</si>
  <si>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</si>
  <si>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</si>
  <si>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</si>
  <si>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</si>
  <si>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</si>
  <si>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</si>
  <si>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</si>
  <si>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</si>
  <si>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</si>
  <si>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</si>
  <si>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</si>
  <si>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</si>
  <si>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</si>
  <si>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</si>
  <si>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</si>
  <si>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</si>
  <si>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</si>
  <si>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</si>
  <si>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</si>
  <si>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</si>
  <si>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</si>
  <si>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</si>
  <si>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</si>
  <si>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</si>
  <si>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</si>
  <si>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</si>
  <si>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</si>
  <si>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</si>
  <si>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</si>
  <si>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</si>
  <si>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</si>
  <si>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</si>
  <si>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</si>
  <si>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</si>
  <si>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</si>
  <si>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</si>
  <si>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</si>
  <si>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</si>
  <si>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</si>
  <si>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</si>
  <si>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</si>
  <si>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</si>
  <si>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</si>
  <si>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</si>
  <si>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</si>
  <si>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</si>
  <si>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</si>
  <si>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</si>
  <si>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</si>
  <si>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</si>
  <si>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</si>
  <si>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</si>
  <si>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</si>
  <si>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</si>
  <si>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</si>
  <si>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</si>
  <si>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</si>
  <si>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</si>
  <si>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</si>
  <si>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</si>
  <si>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</si>
  <si>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</si>
  <si>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</si>
  <si>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</si>
  <si>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</si>
  <si>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</si>
  <si>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</si>
  <si>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</si>
  <si>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</si>
  <si>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</si>
  <si>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</si>
  <si>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</si>
  <si>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</si>
  <si>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</si>
  <si>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</si>
  <si>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</si>
  <si>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</si>
  <si>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</si>
  <si>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</si>
  <si>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</si>
  <si>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</si>
  <si>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</si>
  <si>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</si>
  <si>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</si>
  <si>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</si>
  <si>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</si>
  <si>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</si>
  <si>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</si>
  <si>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</si>
  <si>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</si>
  <si>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</si>
  <si>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</si>
  <si>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</si>
  <si>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</si>
  <si>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</si>
  <si>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</si>
  <si>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</si>
  <si>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</si>
  <si>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</si>
  <si>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</si>
  <si>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</si>
  <si>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</si>
  <si>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</si>
  <si>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</si>
  <si>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</si>
  <si>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</si>
  <si>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</si>
  <si>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</si>
  <si>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</si>
  <si>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</si>
  <si>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</si>
  <si>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</si>
  <si>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</si>
  <si>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</si>
  <si>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</si>
  <si>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</si>
  <si>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</si>
  <si>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</si>
  <si>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</si>
  <si>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</si>
  <si>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</si>
  <si>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</si>
  <si>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</si>
  <si>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</si>
  <si>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</si>
  <si>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</si>
  <si>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</si>
  <si>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</si>
  <si>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</si>
  <si>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</si>
  <si>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</si>
  <si>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</si>
  <si>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</si>
  <si>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</si>
  <si>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</si>
  <si>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</si>
  <si>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</si>
  <si>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</si>
  <si>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</si>
  <si>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</si>
  <si>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</si>
  <si>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</si>
  <si>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</si>
  <si>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</si>
  <si>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</si>
  <si>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</si>
  <si>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</si>
  <si>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</si>
  <si>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</si>
  <si>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</si>
  <si>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</si>
  <si>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</si>
  <si>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</si>
  <si>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</si>
  <si>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</si>
  <si>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</si>
  <si>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</si>
  <si>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</si>
  <si>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</si>
  <si>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</si>
  <si>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</si>
  <si>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</si>
  <si>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</si>
  <si>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</si>
  <si>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</si>
  <si>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</si>
  <si>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</si>
  <si>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</si>
  <si>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</si>
  <si>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</si>
  <si>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</si>
  <si>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</si>
  <si>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</si>
  <si>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</si>
  <si>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</si>
  <si>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</si>
  <si>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</si>
  <si>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</si>
  <si>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</si>
  <si>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</si>
  <si>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</si>
  <si>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</si>
  <si>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</si>
  <si>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</si>
  <si>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</si>
  <si>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</si>
  <si>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</si>
  <si>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</si>
  <si>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</si>
  <si>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</si>
  <si>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</si>
  <si>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</si>
  <si>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</si>
  <si>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</si>
  <si>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</si>
  <si>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</si>
  <si>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</si>
  <si>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</si>
  <si>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</si>
  <si>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</si>
  <si>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</si>
  <si>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</si>
  <si>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</si>
  <si>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</si>
  <si>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</si>
  <si>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</si>
  <si>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</si>
  <si>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</si>
  <si>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</si>
  <si>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</si>
  <si>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</si>
  <si>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</si>
  <si>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</si>
  <si>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</si>
  <si>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</si>
  <si>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</si>
  <si>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</si>
  <si>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</si>
  <si>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</si>
  <si>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</si>
  <si>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</si>
  <si>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</si>
  <si>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</si>
  <si>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</si>
  <si>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</si>
  <si>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</si>
  <si>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</si>
  <si>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</si>
  <si>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</si>
  <si>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</si>
  <si>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</si>
  <si>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</si>
  <si>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</si>
  <si>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</si>
  <si>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</si>
  <si>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</si>
  <si>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</si>
  <si>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</si>
  <si>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</si>
  <si>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</si>
  <si>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</si>
  <si>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</si>
  <si>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</si>
  <si>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</si>
  <si>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</si>
  <si>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</si>
  <si>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</si>
  <si>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</si>
  <si>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</si>
  <si>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</si>
  <si>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</si>
  <si>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</si>
  <si>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</si>
  <si>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</si>
  <si>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</si>
  <si>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</si>
  <si>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</si>
  <si>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</si>
  <si>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</si>
  <si>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</si>
  <si>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</si>
  <si>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</si>
  <si>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</si>
  <si>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</si>
  <si>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</si>
  <si>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</si>
  <si>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</si>
  <si>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</si>
  <si>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</si>
  <si>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</si>
  <si>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</si>
  <si>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</si>
  <si>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</si>
  <si>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</si>
  <si>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</si>
  <si>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</si>
  <si>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</si>
  <si>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</si>
  <si>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</si>
  <si>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</si>
  <si>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</si>
  <si>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</si>
  <si>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</si>
  <si>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</si>
  <si>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</si>
  <si>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</si>
  <si>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</si>
  <si>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</si>
  <si>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</si>
  <si>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</si>
  <si>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</si>
  <si>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</si>
  <si>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</si>
  <si>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</si>
  <si>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</si>
  <si>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</si>
  <si>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</si>
  <si>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</si>
  <si>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</si>
  <si>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</si>
  <si>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</si>
  <si>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</si>
  <si>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</si>
  <si>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</si>
  <si>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</si>
  <si>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</si>
  <si>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</si>
  <si>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</si>
  <si>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</si>
  <si>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</si>
  <si>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</si>
  <si>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</si>
  <si>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</si>
  <si>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</si>
  <si>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</si>
  <si>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</si>
  <si>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</si>
  <si>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</si>
  <si>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</si>
  <si>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</si>
  <si>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</si>
  <si>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</si>
  <si>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Без регулирования: всё работает всю смену на расчётном расходе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</si>
  <si>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</si>
  <si>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</si>
  <si>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</si>
  <si>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</si>
  <si>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</si>
  <si>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</si>
  <si>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</si>
  <si>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</si>
  <si>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</si>
  <si>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</si>
  <si>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</si>
  <si>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</si>
  <si>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</si>
  <si>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режим «без регулирования»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</si>
  <si>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</si>
  <si>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</si>
  <si>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</si>
  <si>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</si>
  <si>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</si>
  <si>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</si>
  <si>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</si>
  <si>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</si>
  <si>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</si>
  <si>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</si>
  <si>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</si>
  <si>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</si>
  <si>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</si>
  <si>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</si>
  <si>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</si>
  <si>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</si>
  <si>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</si>
  <si>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</si>
  <si>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</si>
  <si>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</si>
  <si>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</si>
  <si>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</si>
  <si>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</si>
  <si>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</si>
  <si>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</si>
  <si>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</si>
  <si>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</si>
  <si>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</si>
  <si>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</si>
  <si>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Без регулирования (режим наладки всю смену)</t>
  </si>
  <si>
    <t xml:space="preserve">E</t>
  </si>
  <si>
    <t xml:space="preserve">E = P_эл·t_см</t>
  </si>
  <si>
    <t xml:space="preserve">Вентилятор всю смену работает в режиме листа 6.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</si>
  <si>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«открыто/закрыто» 5,39 кВт·ч, предлагаемая 4,97 кВт·ч (лист 9).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</si>
  <si>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</si>
  <si>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</si>
  <si>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</si>
  <si>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</si>
  <si>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</si>
  <si>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</si>
  <si>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</si>
  <si>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</si>
  <si>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</si>
  <si>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</si>
  <si>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</si>
  <si>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</si>
  <si>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</si>
  <si>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</si>
  <si>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</si>
  <si>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 без регулирования, кВт·ч</t>
  </si>
  <si>
    <t xml:space="preserve">Тепло за смену, «открыто/закрыто» + ПЧ, кВт·ч</t>
  </si>
  <si>
    <t xml:space="preserve">Тепло за смену, предлагаемая система, кВт·ч</t>
  </si>
  <si>
    <t xml:space="preserve">Электроэнергия за смену без регулирования,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</si>
  <si>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</si>
  <si>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</si>
  <si>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</si>
  <si>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</si>
  <si>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без регулирования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</si>
  <si>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</si>
  <si>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</si>
  <si>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</si>
  <si>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</si>
  <si>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</si>
  <si>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</si>
  <si>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</si>
  <si>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</si>
  <si>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</si>
  <si>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</si>
  <si>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1.7 от 11.10.2026 (фасонные элементы по Идельчику: отводы с k_Re·k_Δ, заслонка — диагр. 9-17, диффузор — диагр. 5-2)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</si>
  <si>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</si>
  <si>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</si>
  <si>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</si>
  <si>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</si>
  <si>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</si>
  <si>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</si>
  <si>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</si>
  <si>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</si>
  <si>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</si>
  <si>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</si>
  <si>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Без регулирования</t>
  </si>
  <si>
    <t xml:space="preserve">0 %</t>
  </si>
  <si>
    <t xml:space="preserve">«Открыто/закрыто» + ПЧ (пром. стандарт)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</si>
  <si>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</si>
  <si>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</si>
  <si>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</si>
  <si>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</si>
  <si>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</si>
  <si>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</si>
  <si>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</si>
  <si>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</si>
  <si>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</si>
  <si>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</si>
  <si>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</si>
  <si>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</si>
  <si>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</si>
  <si>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</si>
  <si>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</si>
  <si>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</si>
  <si>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</si>
  <si>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</si>
  <si>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</si>
  <si>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</si>
  <si>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</si>
  <si>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</si>
  <si>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</si>
  <si>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</si>
  <si>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</si>
  <si>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</si>
  <si>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Без регулирования / пост.</t>
  </si>
  <si>
    <t xml:space="preserve">«Открыто/закрыто» + ПЧ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</si>
  <si>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</si>
  <si>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</si>
  <si>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</si>
  <si>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</si>
  <si>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</si>
  <si>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(v1.7, 11.10.2026):</t>
  </si>
  <si>
    <t xml:space="preserve">1. Основная экономия электроэнергии — от регулирования местной вытяжки: «открыто/закрыто» + ПЧ даёт −64 % против работы без регулирования (15,06 → 5,39 кВт·ч); предлагаемая система — ещё −8 % (4,97) и, главное, точность: перерасход 2,6 % времени против 38,4 %.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</si>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</sst>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26.8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26.8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26.85" hidden="false" customHeight="false" outlineLevel="0" collapsed="false">
      <c r="A21" s="8" t="n">
        <v>13</v>
      </c>
      <c r="B21" s="8" t="s">
        <v>595</v>
      </c>
      <c r="C21" s="8" t="s">
        <v>596</v>
      </c>
      <c r="D21" s="18" t="n">
        <f aca="false">'6 Вентилятор'!$D$38*'1 Исходные'!$D$34/1000</f>
        <v>15.0590604704643</v>
      </c>
      <c r="E21" s="8" t="s">
        <v>563</v>
      </c>
      <c r="F21" s="8" t="s">
        <v>597</v>
      </c>
      <c r="G21" s="8" t="s">
        <v>598</v>
      </c>
      <c r="H21" s="8" t="s">
        <v>78</v>
      </c>
    </row>
    <row r="22" customFormat="false" ht="30" hidden="false" customHeight="true" outlineLevel="0" collapsed="false">
      <c r="B22" s="10" t="s">
        <v>599</v>
      </c>
      <c r="C22" s="10"/>
      <c r="D22" s="10"/>
      <c r="E22" s="10"/>
      <c r="F22" s="10"/>
      <c r="G22" s="10"/>
      <c r="H22" s="10"/>
    </row>
  </sheetData>
  <mergeCells count="6">
    <mergeCell ref="A2:H2"/>
    <mergeCell ref="A6:H6"/>
    <mergeCell ref="A12:H12"/>
    <mergeCell ref="A14:H14"/>
    <mergeCell ref="A20:H20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600</v>
      </c>
    </row>
    <row r="2" customFormat="false" ht="15" hidden="false" customHeight="false" outlineLevel="0" collapsed="false">
      <c r="A2" s="6" t="s">
        <v>601</v>
      </c>
    </row>
    <row r="4" customFormat="false" ht="26.85" hidden="false" customHeight="false" outlineLevel="0" collapsed="false">
      <c r="A4" s="7" t="s">
        <v>112</v>
      </c>
      <c r="B4" s="7" t="s">
        <v>602</v>
      </c>
      <c r="C4" s="7" t="s">
        <v>603</v>
      </c>
      <c r="D4" s="7" t="s">
        <v>604</v>
      </c>
      <c r="E4" s="7" t="s">
        <v>605</v>
      </c>
    </row>
    <row r="5" customFormat="false" ht="15" hidden="false" customHeight="false" outlineLevel="0" collapsed="false">
      <c r="A5" s="22" t="s">
        <v>606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607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608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609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610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611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612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613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614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615</v>
      </c>
      <c r="B14" s="45" t="n">
        <f aca="false">'7 Тепло'!$D$9</f>
        <v>665.306082898869</v>
      </c>
      <c r="C14" s="46" t="n">
        <v>665.195734580434</v>
      </c>
      <c r="D14" s="47" t="n">
        <f aca="false">ABS(B14-C14)/ABS(C14)</f>
        <v>0.000165888493714971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616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617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618</v>
      </c>
      <c r="B17" s="45" t="n">
        <f aca="false">'7 Тепло'!$D$21</f>
        <v>15.0590604704643</v>
      </c>
      <c r="C17" s="46" t="n">
        <v>15.0566179832324</v>
      </c>
      <c r="D17" s="47" t="n">
        <f aca="false">ABS(B17-C17)/ABS(C17)</f>
        <v>0.000162220176837712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619</v>
      </c>
      <c r="B18" s="45" t="n">
        <f aca="false">'10 Регулирование'!$D$25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620</v>
      </c>
      <c r="B19" s="45" t="n">
        <f aca="false">'10 Регулирование'!$D$28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621</v>
      </c>
      <c r="B20" s="45" t="n">
        <f aca="false">'10 Регулирование'!$D$29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622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623</v>
      </c>
    </row>
    <row r="23" customFormat="false" ht="15" hidden="false" customHeight="false" outlineLevel="0" collapsed="false">
      <c r="A23" s="22" t="s">
        <v>624</v>
      </c>
      <c r="B23" s="48" t="n">
        <f aca="false">'5 Потери'!$R$51</f>
        <v>5.44444446859416E-006</v>
      </c>
      <c r="C23" s="22" t="s">
        <v>625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626</v>
      </c>
      <c r="B24" s="48" t="n">
        <f aca="false">'6 Вентилятор'!$D$22</f>
        <v>-2.52090870844768E-005</v>
      </c>
      <c r="C24" s="22" t="s">
        <v>627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628</v>
      </c>
      <c r="B25" s="48" t="n">
        <f aca="false">'6 Вентилятор'!$D$23</f>
        <v>-2.8875702582809E-005</v>
      </c>
      <c r="C25" s="22" t="s">
        <v>627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629</v>
      </c>
      <c r="B26" s="48" t="n">
        <f aca="false">'6 Вентилятор'!$D$24</f>
        <v>-2.40522252852315E-005</v>
      </c>
      <c r="C26" s="22" t="s">
        <v>627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630</v>
      </c>
      <c r="B27" s="48" t="n">
        <f aca="false">'2 Выделения'!$D$13</f>
        <v>0</v>
      </c>
      <c r="C27" s="22" t="s">
        <v>631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632</v>
      </c>
      <c r="B28" s="48" t="n">
        <f aca="false">'3 СП 60'!$D$13-'1 Исходные'!$D$25</f>
        <v>0</v>
      </c>
      <c r="C28" s="22" t="s">
        <v>631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633</v>
      </c>
      <c r="B29" s="48" t="n">
        <f aca="false">MAX('11 Динамика'!$E$13:$E$28)</f>
        <v>8.53793584632849E-005</v>
      </c>
      <c r="C29" s="22" t="s">
        <v>625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634</v>
      </c>
    </row>
    <row r="2" customFormat="false" ht="45" hidden="false" customHeight="true" outlineLevel="0" collapsed="false">
      <c r="A2" s="10" t="s">
        <v>635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636</v>
      </c>
    </row>
    <row r="5" customFormat="false" ht="26.85" hidden="false" customHeight="false" outlineLevel="0" collapsed="false">
      <c r="A5" s="7" t="s">
        <v>637</v>
      </c>
      <c r="B5" s="7" t="s">
        <v>638</v>
      </c>
      <c r="C5" s="7" t="s">
        <v>639</v>
      </c>
      <c r="D5" s="7" t="s">
        <v>640</v>
      </c>
      <c r="E5" s="7" t="s">
        <v>641</v>
      </c>
      <c r="F5" s="7" t="s">
        <v>642</v>
      </c>
      <c r="G5" s="7" t="s">
        <v>643</v>
      </c>
      <c r="H5" s="7" t="s">
        <v>644</v>
      </c>
    </row>
    <row r="6" customFormat="false" ht="15" hidden="false" customHeight="false" outlineLevel="0" collapsed="false">
      <c r="A6" s="24" t="s">
        <v>645</v>
      </c>
      <c r="B6" s="24" t="n">
        <v>15.06</v>
      </c>
      <c r="C6" s="24" t="n">
        <v>665</v>
      </c>
      <c r="D6" s="24" t="n">
        <v>4498</v>
      </c>
      <c r="E6" s="24" t="s">
        <v>646</v>
      </c>
      <c r="F6" s="24" t="s">
        <v>646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647</v>
      </c>
      <c r="B7" s="24" t="n">
        <v>5.39</v>
      </c>
      <c r="C7" s="24" t="n">
        <v>527</v>
      </c>
      <c r="D7" s="24" t="n">
        <v>1872</v>
      </c>
      <c r="E7" s="24" t="s">
        <v>648</v>
      </c>
      <c r="F7" s="24" t="s">
        <v>649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650</v>
      </c>
      <c r="B8" s="24" t="n">
        <v>4.97</v>
      </c>
      <c r="C8" s="24" t="n">
        <v>519</v>
      </c>
      <c r="D8" s="24" t="n">
        <v>1727</v>
      </c>
      <c r="E8" s="24" t="s">
        <v>651</v>
      </c>
      <c r="F8" s="24" t="s">
        <v>652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653</v>
      </c>
      <c r="B9" s="24" t="n">
        <v>4.97</v>
      </c>
      <c r="C9" s="24" t="n">
        <v>398</v>
      </c>
      <c r="D9" s="24" t="n">
        <v>1727</v>
      </c>
      <c r="E9" s="24" t="s">
        <v>651</v>
      </c>
      <c r="F9" s="24" t="s">
        <v>652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654</v>
      </c>
    </row>
    <row r="12" customFormat="false" ht="39.55" hidden="false" customHeight="false" outlineLevel="0" collapsed="false">
      <c r="A12" s="7" t="s">
        <v>655</v>
      </c>
      <c r="B12" s="7" t="s">
        <v>656</v>
      </c>
      <c r="C12" s="7" t="s">
        <v>639</v>
      </c>
      <c r="D12" s="7" t="s">
        <v>657</v>
      </c>
      <c r="E12" s="7" t="s">
        <v>658</v>
      </c>
      <c r="F12" s="7" t="s">
        <v>659</v>
      </c>
      <c r="G12" s="7" t="s">
        <v>660</v>
      </c>
      <c r="H12" s="7"/>
    </row>
    <row r="13" customFormat="false" ht="15" hidden="false" customHeight="false" outlineLevel="0" collapsed="false">
      <c r="A13" s="24" t="s">
        <v>661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646</v>
      </c>
      <c r="H13" s="24"/>
    </row>
    <row r="14" customFormat="false" ht="15" hidden="false" customHeight="false" outlineLevel="0" collapsed="false">
      <c r="A14" s="24" t="s">
        <v>662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646</v>
      </c>
      <c r="H14" s="24"/>
    </row>
    <row r="15" customFormat="false" ht="15" hidden="false" customHeight="false" outlineLevel="0" collapsed="false">
      <c r="A15" s="24" t="s">
        <v>663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646</v>
      </c>
      <c r="H15" s="24"/>
    </row>
    <row r="16" customFormat="false" ht="15" hidden="false" customHeight="false" outlineLevel="0" collapsed="false">
      <c r="A16" s="24" t="s">
        <v>664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646</v>
      </c>
      <c r="H16" s="24"/>
    </row>
    <row r="17" customFormat="false" ht="15" hidden="false" customHeight="false" outlineLevel="0" collapsed="false">
      <c r="A17" s="24" t="s">
        <v>665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646</v>
      </c>
      <c r="H17" s="24"/>
    </row>
    <row r="18" customFormat="false" ht="15" hidden="false" customHeight="false" outlineLevel="0" collapsed="false">
      <c r="A18" s="24" t="s">
        <v>666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646</v>
      </c>
      <c r="H18" s="24"/>
    </row>
    <row r="19" customFormat="false" ht="15" hidden="false" customHeight="false" outlineLevel="0" collapsed="false">
      <c r="A19" s="24" t="s">
        <v>667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668</v>
      </c>
      <c r="H19" s="24"/>
    </row>
    <row r="20" customFormat="false" ht="15" hidden="false" customHeight="false" outlineLevel="0" collapsed="false">
      <c r="A20" s="24" t="s">
        <v>669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646</v>
      </c>
      <c r="H20" s="24"/>
    </row>
    <row r="21" customFormat="false" ht="15" hidden="false" customHeight="false" outlineLevel="0" collapsed="false">
      <c r="A21" s="24" t="s">
        <v>670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646</v>
      </c>
      <c r="H21" s="24"/>
    </row>
    <row r="23" customFormat="false" ht="15" hidden="false" customHeight="false" outlineLevel="0" collapsed="false">
      <c r="A23" s="23" t="s">
        <v>671</v>
      </c>
    </row>
    <row r="24" customFormat="false" ht="26.85" hidden="false" customHeight="false" outlineLevel="0" collapsed="false">
      <c r="A24" s="7" t="s">
        <v>672</v>
      </c>
      <c r="B24" s="7" t="s">
        <v>638</v>
      </c>
      <c r="C24" s="7" t="s">
        <v>639</v>
      </c>
      <c r="D24" s="7" t="s">
        <v>656</v>
      </c>
      <c r="E24" s="7" t="s">
        <v>673</v>
      </c>
      <c r="F24" s="7"/>
      <c r="G24" s="7"/>
      <c r="H24" s="7"/>
    </row>
    <row r="25" customFormat="false" ht="15" hidden="false" customHeight="false" outlineLevel="0" collapsed="false">
      <c r="A25" s="24" t="s">
        <v>674</v>
      </c>
      <c r="B25" s="24" t="n">
        <v>20.58</v>
      </c>
      <c r="C25" s="24" t="n">
        <v>341</v>
      </c>
      <c r="D25" s="24" t="n">
        <v>962</v>
      </c>
      <c r="E25" s="24" t="n">
        <v>0.382</v>
      </c>
    </row>
    <row r="26" customFormat="false" ht="15" hidden="false" customHeight="false" outlineLevel="0" collapsed="false">
      <c r="A26" s="24" t="s">
        <v>675</v>
      </c>
      <c r="B26" s="24" t="n">
        <v>7.7</v>
      </c>
      <c r="C26" s="24" t="n">
        <v>177</v>
      </c>
      <c r="D26" s="24" t="n">
        <v>962</v>
      </c>
      <c r="E26" s="24" t="n">
        <v>0.649</v>
      </c>
    </row>
    <row r="27" customFormat="false" ht="15" hidden="false" customHeight="false" outlineLevel="0" collapsed="false">
      <c r="A27" s="24" t="s">
        <v>676</v>
      </c>
      <c r="B27" s="24" t="n">
        <v>6.62</v>
      </c>
      <c r="C27" s="24" t="n">
        <v>163</v>
      </c>
      <c r="D27" s="24" t="n">
        <v>962</v>
      </c>
      <c r="E27" s="24" t="n">
        <v>0.708</v>
      </c>
    </row>
    <row r="28" customFormat="false" ht="15" hidden="false" customHeight="false" outlineLevel="0" collapsed="false">
      <c r="A28" s="24" t="s">
        <v>677</v>
      </c>
      <c r="B28" s="24" t="n">
        <v>6.62</v>
      </c>
      <c r="C28" s="24" t="n">
        <v>138</v>
      </c>
      <c r="D28" s="24" t="n">
        <v>486</v>
      </c>
      <c r="E28" s="24" t="n">
        <v>0.774</v>
      </c>
    </row>
    <row r="29" customFormat="false" ht="15" hidden="false" customHeight="false" outlineLevel="0" collapsed="false">
      <c r="A29" s="24" t="s">
        <v>678</v>
      </c>
      <c r="B29" s="24" t="n">
        <v>6.62</v>
      </c>
      <c r="C29" s="24" t="n">
        <v>283</v>
      </c>
      <c r="D29" s="24" t="n">
        <v>3240</v>
      </c>
      <c r="E29" s="24" t="n">
        <v>0.474</v>
      </c>
    </row>
    <row r="30" customFormat="false" ht="15" hidden="false" customHeight="false" outlineLevel="0" collapsed="false">
      <c r="A30" s="24" t="s">
        <v>679</v>
      </c>
      <c r="B30" s="24" t="n">
        <v>6.62</v>
      </c>
      <c r="C30" s="24" t="n">
        <v>160</v>
      </c>
      <c r="D30" s="24" t="n">
        <v>918</v>
      </c>
      <c r="E30" s="24" t="n">
        <v>0.696</v>
      </c>
    </row>
    <row r="31" customFormat="false" ht="15" hidden="false" customHeight="false" outlineLevel="0" collapsed="false">
      <c r="A31" s="24" t="s">
        <v>680</v>
      </c>
      <c r="B31" s="24" t="n">
        <v>6.62</v>
      </c>
      <c r="C31" s="24" t="n">
        <v>140</v>
      </c>
      <c r="D31" s="24" t="n">
        <v>526</v>
      </c>
      <c r="E31" s="24" t="n">
        <v>0.752</v>
      </c>
    </row>
    <row r="33" customFormat="false" ht="31.5" hidden="false" customHeight="true" outlineLevel="0" collapsed="false">
      <c r="A33" s="49" t="s">
        <v>681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682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683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684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685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686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687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688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689</v>
      </c>
    </row>
    <row r="2" customFormat="false" ht="60" hidden="false" customHeight="true" outlineLevel="0" collapsed="false">
      <c r="A2" s="10" t="s">
        <v>690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691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692</v>
      </c>
      <c r="C6" s="8" t="s">
        <v>693</v>
      </c>
      <c r="D6" s="51" t="n">
        <f aca="false">'5 Потери'!$J$9</f>
        <v>0.121757</v>
      </c>
      <c r="E6" s="8" t="s">
        <v>694</v>
      </c>
      <c r="F6" s="8"/>
      <c r="G6" s="8" t="s">
        <v>695</v>
      </c>
      <c r="H6" s="8" t="s">
        <v>696</v>
      </c>
    </row>
    <row r="7" customFormat="false" ht="15" hidden="false" customHeight="false" outlineLevel="0" collapsed="false">
      <c r="A7" s="8" t="n">
        <v>2</v>
      </c>
      <c r="B7" s="8" t="s">
        <v>697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698</v>
      </c>
      <c r="G7" s="8"/>
      <c r="H7" s="8" t="s">
        <v>699</v>
      </c>
    </row>
    <row r="8" customFormat="false" ht="26.85" hidden="false" customHeight="false" outlineLevel="0" collapsed="false">
      <c r="A8" s="8" t="n">
        <v>3</v>
      </c>
      <c r="B8" s="8" t="s">
        <v>700</v>
      </c>
      <c r="C8" s="8" t="s">
        <v>701</v>
      </c>
      <c r="D8" s="52" t="n">
        <f aca="false">'5 Потери'!$R$9</f>
        <v>21.3354680509846</v>
      </c>
      <c r="E8" s="8" t="s">
        <v>496</v>
      </c>
      <c r="F8" s="8" t="s">
        <v>702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703</v>
      </c>
      <c r="C9" s="8" t="s">
        <v>704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705</v>
      </c>
      <c r="G9" s="8" t="s">
        <v>706</v>
      </c>
      <c r="H9" s="8"/>
    </row>
    <row r="10" customFormat="false" ht="26.85" hidden="false" customHeight="false" outlineLevel="0" collapsed="false">
      <c r="A10" s="8" t="n">
        <v>5</v>
      </c>
      <c r="B10" s="8" t="s">
        <v>707</v>
      </c>
      <c r="C10" s="8" t="s">
        <v>693</v>
      </c>
      <c r="D10" s="51" t="n">
        <f aca="false">'5 Потери'!$J$19</f>
        <v>5.21025</v>
      </c>
      <c r="E10" s="8" t="s">
        <v>694</v>
      </c>
      <c r="F10" s="8"/>
      <c r="G10" s="8" t="s">
        <v>695</v>
      </c>
      <c r="H10" s="8" t="s">
        <v>696</v>
      </c>
    </row>
    <row r="11" customFormat="false" ht="15" hidden="false" customHeight="false" outlineLevel="0" collapsed="false">
      <c r="A11" s="8" t="n">
        <v>6</v>
      </c>
      <c r="B11" s="8" t="s">
        <v>708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698</v>
      </c>
      <c r="G11" s="8"/>
      <c r="H11" s="8" t="s">
        <v>699</v>
      </c>
    </row>
    <row r="12" customFormat="false" ht="26.85" hidden="false" customHeight="false" outlineLevel="0" collapsed="false">
      <c r="A12" s="8" t="n">
        <v>7</v>
      </c>
      <c r="B12" s="8" t="s">
        <v>709</v>
      </c>
      <c r="C12" s="8" t="s">
        <v>701</v>
      </c>
      <c r="D12" s="52" t="n">
        <f aca="false">'5 Потери'!$R$19</f>
        <v>34.7021580267596</v>
      </c>
      <c r="E12" s="8" t="s">
        <v>496</v>
      </c>
      <c r="F12" s="8" t="s">
        <v>702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710</v>
      </c>
      <c r="C13" s="8" t="s">
        <v>704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705</v>
      </c>
      <c r="G13" s="8" t="s">
        <v>706</v>
      </c>
      <c r="H13" s="8"/>
    </row>
    <row r="14" customFormat="false" ht="26.85" hidden="false" customHeight="false" outlineLevel="0" collapsed="false">
      <c r="A14" s="8" t="n">
        <v>9</v>
      </c>
      <c r="B14" s="8" t="s">
        <v>711</v>
      </c>
      <c r="C14" s="8" t="s">
        <v>693</v>
      </c>
      <c r="D14" s="51" t="n">
        <f aca="false">'5 Потери'!$J$28</f>
        <v>7.990537</v>
      </c>
      <c r="E14" s="8" t="s">
        <v>694</v>
      </c>
      <c r="F14" s="8"/>
      <c r="G14" s="8" t="s">
        <v>695</v>
      </c>
      <c r="H14" s="8" t="s">
        <v>696</v>
      </c>
    </row>
    <row r="15" customFormat="false" ht="15" hidden="false" customHeight="false" outlineLevel="0" collapsed="false">
      <c r="A15" s="8" t="n">
        <v>10</v>
      </c>
      <c r="B15" s="8" t="s">
        <v>712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698</v>
      </c>
      <c r="G15" s="8"/>
      <c r="H15" s="8" t="s">
        <v>699</v>
      </c>
    </row>
    <row r="16" customFormat="false" ht="26.85" hidden="false" customHeight="false" outlineLevel="0" collapsed="false">
      <c r="A16" s="8" t="n">
        <v>11</v>
      </c>
      <c r="B16" s="8" t="s">
        <v>713</v>
      </c>
      <c r="C16" s="8" t="s">
        <v>701</v>
      </c>
      <c r="D16" s="52" t="n">
        <f aca="false">'5 Потери'!$R$28</f>
        <v>45.2672428333521</v>
      </c>
      <c r="E16" s="8" t="s">
        <v>496</v>
      </c>
      <c r="F16" s="8" t="s">
        <v>702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714</v>
      </c>
      <c r="C17" s="8" t="s">
        <v>704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705</v>
      </c>
      <c r="G17" s="8" t="s">
        <v>706</v>
      </c>
      <c r="H17" s="8"/>
    </row>
    <row r="18" customFormat="false" ht="15" hidden="false" customHeight="true" outlineLevel="0" collapsed="false">
      <c r="B18" s="10" t="s">
        <v>715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716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8" t="n">
        <v>13</v>
      </c>
      <c r="B20" s="8" t="s">
        <v>717</v>
      </c>
      <c r="C20" s="8" t="s">
        <v>718</v>
      </c>
      <c r="D20" s="54" t="n">
        <f aca="false">'1 Исходные'!$D$17</f>
        <v>1500</v>
      </c>
      <c r="E20" s="8" t="s">
        <v>167</v>
      </c>
      <c r="F20" s="8"/>
      <c r="G20" s="8" t="s">
        <v>719</v>
      </c>
      <c r="H20" s="8" t="s">
        <v>720</v>
      </c>
    </row>
    <row r="21" customFormat="false" ht="26.85" hidden="false" customHeight="false" outlineLevel="0" collapsed="false">
      <c r="A21" s="8" t="n">
        <v>14</v>
      </c>
      <c r="B21" s="8" t="s">
        <v>721</v>
      </c>
      <c r="C21" s="8" t="s">
        <v>485</v>
      </c>
      <c r="D21" s="16" t="n">
        <v>1320</v>
      </c>
      <c r="E21" s="8" t="s">
        <v>167</v>
      </c>
      <c r="F21" s="8"/>
      <c r="G21" s="8" t="s">
        <v>722</v>
      </c>
      <c r="H21" s="8" t="s">
        <v>723</v>
      </c>
    </row>
    <row r="22" customFormat="false" ht="15" hidden="false" customHeight="false" outlineLevel="0" collapsed="false">
      <c r="A22" s="8" t="n">
        <v>15</v>
      </c>
      <c r="B22" s="8" t="s">
        <v>724</v>
      </c>
      <c r="C22" s="8" t="s">
        <v>725</v>
      </c>
      <c r="D22" s="15" t="n">
        <v>30</v>
      </c>
      <c r="E22" s="8" t="s">
        <v>694</v>
      </c>
      <c r="F22" s="8"/>
      <c r="G22" s="8"/>
      <c r="H22" s="8" t="s">
        <v>723</v>
      </c>
    </row>
    <row r="23" customFormat="false" ht="26.85" hidden="false" customHeight="false" outlineLevel="0" collapsed="false">
      <c r="A23" s="8" t="n">
        <v>16</v>
      </c>
      <c r="B23" s="8" t="s">
        <v>726</v>
      </c>
      <c r="C23" s="8" t="s">
        <v>727</v>
      </c>
      <c r="D23" s="15" t="n">
        <v>4</v>
      </c>
      <c r="E23" s="8" t="s">
        <v>728</v>
      </c>
      <c r="F23" s="8"/>
      <c r="G23" s="8" t="s">
        <v>729</v>
      </c>
      <c r="H23" s="8" t="s">
        <v>730</v>
      </c>
    </row>
    <row r="24" customFormat="false" ht="15" hidden="false" customHeight="false" outlineLevel="0" collapsed="false">
      <c r="A24" s="8" t="n">
        <v>17</v>
      </c>
      <c r="B24" s="8" t="s">
        <v>731</v>
      </c>
      <c r="C24" s="8" t="s">
        <v>548</v>
      </c>
      <c r="D24" s="16" t="n">
        <v>1</v>
      </c>
      <c r="E24" s="8" t="s">
        <v>732</v>
      </c>
      <c r="F24" s="8"/>
      <c r="G24" s="8"/>
      <c r="H24" s="8" t="s">
        <v>733</v>
      </c>
    </row>
    <row r="25" customFormat="false" ht="15" hidden="false" customHeight="false" outlineLevel="0" collapsed="false">
      <c r="A25" s="8" t="n">
        <v>18</v>
      </c>
      <c r="B25" s="8" t="s">
        <v>734</v>
      </c>
      <c r="C25" s="8" t="s">
        <v>735</v>
      </c>
      <c r="D25" s="38" t="n">
        <f aca="false">IF('10 Регулирование'!$D$22&gt;=90,10000,EXP(LN(INDEX('4 Таблицы'!$B$5:$B$13,MATCH('10 Регулирование'!$D$22,'4 Таблицы'!$A$5:$A$13,1)))+('10 Регулирование'!$D$22-INDEX('4 Таблицы'!$A$5:$A$13,MATCH('10 Регулирование'!$D$22,'4 Таблицы'!$A$5:$A$13,1)))/(INDEX('4 Таблицы'!$A$5:$A$13,MATCH('10 Регулирование'!$D$22,'4 Таблицы'!$A$5:$A$13,1)+1)-INDEX('4 Таблицы'!$A$5:$A$13,MATCH('10 Регулирование'!$D$22,'4 Таблицы'!$A$5:$A$13,1)))*(LN(INDEX('4 Таблицы'!$B$5:$B$13,MATCH('10 Регулирование'!$D$22,'4 Таблицы'!$A$5:$A$13,1)+1))-LN(INDEX('4 Таблицы'!$B$5:$B$13,MATCH('10 Регулирование'!$D$22,'4 Таблицы'!$A$5:$A$13,1))))))</f>
        <v>4.5</v>
      </c>
      <c r="E25" s="8" t="s">
        <v>123</v>
      </c>
      <c r="F25" s="8" t="s">
        <v>736</v>
      </c>
      <c r="G25" s="8"/>
      <c r="H25" s="8" t="s">
        <v>365</v>
      </c>
    </row>
    <row r="26" customFormat="false" ht="15" hidden="false" customHeight="false" outlineLevel="0" collapsed="false">
      <c r="A26" s="8" t="n">
        <v>19</v>
      </c>
      <c r="B26" s="8" t="s">
        <v>737</v>
      </c>
      <c r="C26" s="8" t="s">
        <v>738</v>
      </c>
      <c r="D26" s="38" t="n">
        <f aca="false">('10 Регулирование'!$D$21-'10 Регулирование'!$D$20)/'10 Регулирование'!$D$20</f>
        <v>-0.12</v>
      </c>
      <c r="E26" s="8" t="s">
        <v>123</v>
      </c>
      <c r="F26" s="8" t="s">
        <v>739</v>
      </c>
      <c r="G26" s="8" t="s">
        <v>740</v>
      </c>
      <c r="H26" s="8" t="s">
        <v>733</v>
      </c>
    </row>
    <row r="27" customFormat="false" ht="39.55" hidden="false" customHeight="false" outlineLevel="0" collapsed="false">
      <c r="A27" s="8" t="n">
        <v>20</v>
      </c>
      <c r="B27" s="8" t="s">
        <v>741</v>
      </c>
      <c r="C27" s="8" t="s">
        <v>742</v>
      </c>
      <c r="D27" s="38" t="n">
        <f aca="false">'10 Регулирование'!$D$23*'10 Регулирование'!$D$26*'10 Регулирование'!$D$24</f>
        <v>-0.48</v>
      </c>
      <c r="E27" s="8" t="s">
        <v>123</v>
      </c>
      <c r="F27" s="8" t="s">
        <v>743</v>
      </c>
      <c r="G27" s="8" t="s">
        <v>744</v>
      </c>
      <c r="H27" s="8" t="s">
        <v>745</v>
      </c>
    </row>
    <row r="28" customFormat="false" ht="26.85" hidden="false" customHeight="false" outlineLevel="0" collapsed="false">
      <c r="A28" s="8" t="n">
        <v>21</v>
      </c>
      <c r="B28" s="8" t="s">
        <v>746</v>
      </c>
      <c r="C28" s="8" t="s">
        <v>747</v>
      </c>
      <c r="D28" s="38" t="n">
        <f aca="false">EXP(MIN(INDEX('4 Таблицы'!$C$5:$C$13,8),MAX(INDEX('4 Таблицы'!$C$5:$C$13,1),LN('10 Регулирование'!$D$25)+'10 Регулирование'!$D$27)))</f>
        <v>2.78452526312763</v>
      </c>
      <c r="E28" s="8" t="s">
        <v>123</v>
      </c>
      <c r="F28" s="8" t="s">
        <v>748</v>
      </c>
      <c r="G28" s="8"/>
      <c r="H28" s="8" t="s">
        <v>733</v>
      </c>
    </row>
    <row r="29" customFormat="false" ht="26.85" hidden="false" customHeight="false" outlineLevel="0" collapsed="false">
      <c r="A29" s="8" t="n">
        <v>22</v>
      </c>
      <c r="B29" s="8" t="s">
        <v>749</v>
      </c>
      <c r="C29" s="8" t="s">
        <v>750</v>
      </c>
      <c r="D29" s="18" t="n">
        <f aca="false">IF(LN('10 Регулирование'!$D$28)&gt;=INDEX('4 Таблицы'!$C$5:$C$13,8),70,INDEX('4 Таблицы'!$A$5:$A$13,MATCH(LN('10 Регулирование'!$D$28),'4 Таблицы'!$C$5:$C$13,1))+(LN('10 Регулирование'!$D$28)-INDEX('4 Таблицы'!$C$5:$C$13,MATCH(LN('10 Регулирование'!$D$28),'4 Таблицы'!$C$5:$C$13,1)))/(INDEX('4 Таблицы'!$C$5:$C$13,MATCH(LN('10 Регулирование'!$D$28),'4 Таблицы'!$C$5:$C$13,1)+1)-INDEX('4 Таблицы'!$C$5:$C$13,MATCH(LN('10 Регулирование'!$D$28),'4 Таблицы'!$C$5:$C$13,1)))*(INDEX('4 Таблицы'!$A$5:$A$13,MATCH(LN('10 Регулирование'!$D$28),'4 Таблицы'!$C$5:$C$13,1)+1)-INDEX('4 Таблицы'!$A$5:$A$13,MATCH(LN('10 Регулирование'!$D$28),'4 Таблицы'!$C$5:$C$13,1))))</f>
        <v>25.5236198173473</v>
      </c>
      <c r="E29" s="8" t="s">
        <v>694</v>
      </c>
      <c r="F29" s="8" t="s">
        <v>751</v>
      </c>
      <c r="G29" s="8" t="s">
        <v>752</v>
      </c>
      <c r="H29" s="8" t="s">
        <v>753</v>
      </c>
    </row>
    <row r="30" customFormat="false" ht="15" hidden="false" customHeight="false" outlineLevel="0" collapsed="false">
      <c r="A30" s="8" t="n">
        <v>23</v>
      </c>
      <c r="B30" s="8" t="s">
        <v>754</v>
      </c>
      <c r="C30" s="8" t="s">
        <v>755</v>
      </c>
      <c r="D30" s="16" t="n">
        <v>8</v>
      </c>
      <c r="E30" s="8" t="s">
        <v>732</v>
      </c>
      <c r="F30" s="8"/>
      <c r="G30" s="8" t="s">
        <v>756</v>
      </c>
      <c r="H30" s="8" t="s">
        <v>757</v>
      </c>
    </row>
    <row r="31" customFormat="false" ht="15" hidden="false" customHeight="false" outlineLevel="0" collapsed="false">
      <c r="A31" s="8" t="n">
        <v>24</v>
      </c>
      <c r="B31" s="8" t="s">
        <v>758</v>
      </c>
      <c r="C31" s="8" t="s">
        <v>759</v>
      </c>
      <c r="D31" s="55" t="n">
        <f aca="false">90/'10 Регулирование'!$D$30</f>
        <v>11.25</v>
      </c>
      <c r="E31" s="8" t="s">
        <v>760</v>
      </c>
      <c r="F31" s="8" t="s">
        <v>761</v>
      </c>
      <c r="G31" s="8"/>
      <c r="H31" s="8"/>
    </row>
    <row r="32" customFormat="false" ht="15" hidden="false" customHeight="false" outlineLevel="0" collapsed="false">
      <c r="A32" s="8" t="n">
        <v>25</v>
      </c>
      <c r="B32" s="8" t="s">
        <v>762</v>
      </c>
      <c r="C32" s="8" t="s">
        <v>763</v>
      </c>
      <c r="D32" s="18" t="n">
        <f aca="false">SIGN('10 Регулирование'!$D$29-'10 Регулирование'!$D$22)*MIN(ABS('10 Регулирование'!$D$29-'10 Регулирование'!$D$22),'10 Регулирование'!$D$31*'10 Регулирование'!$D$24)</f>
        <v>-4.4763801826527</v>
      </c>
      <c r="E32" s="8" t="s">
        <v>694</v>
      </c>
      <c r="F32" s="8" t="s">
        <v>764</v>
      </c>
      <c r="G32" s="8" t="s">
        <v>765</v>
      </c>
      <c r="H32" s="8" t="s">
        <v>733</v>
      </c>
    </row>
    <row r="33" customFormat="false" ht="15" hidden="false" customHeight="false" outlineLevel="0" collapsed="false">
      <c r="A33" s="11" t="s">
        <v>766</v>
      </c>
      <c r="B33" s="11"/>
      <c r="C33" s="11"/>
      <c r="D33" s="11"/>
      <c r="E33" s="11"/>
      <c r="F33" s="11"/>
      <c r="G33" s="11"/>
      <c r="H33" s="11"/>
    </row>
    <row r="34" customFormat="false" ht="15" hidden="false" customHeight="false" outlineLevel="0" collapsed="false">
      <c r="A34" s="8" t="n">
        <v>26</v>
      </c>
      <c r="B34" s="8" t="s">
        <v>767</v>
      </c>
      <c r="C34" s="8" t="s">
        <v>768</v>
      </c>
      <c r="D34" s="15" t="n">
        <v>8</v>
      </c>
      <c r="E34" s="8" t="s">
        <v>694</v>
      </c>
      <c r="F34" s="8"/>
      <c r="G34" s="8"/>
      <c r="H34" s="8" t="s">
        <v>723</v>
      </c>
    </row>
    <row r="35" customFormat="false" ht="15" hidden="false" customHeight="false" outlineLevel="0" collapsed="false">
      <c r="A35" s="8" t="n">
        <v>27</v>
      </c>
      <c r="B35" s="8" t="s">
        <v>769</v>
      </c>
      <c r="C35" s="8" t="s">
        <v>770</v>
      </c>
      <c r="D35" s="15" t="n">
        <v>12</v>
      </c>
      <c r="E35" s="8" t="s">
        <v>694</v>
      </c>
      <c r="F35" s="8"/>
      <c r="G35" s="8"/>
      <c r="H35" s="8" t="s">
        <v>723</v>
      </c>
    </row>
    <row r="36" customFormat="false" ht="15" hidden="false" customHeight="false" outlineLevel="0" collapsed="false">
      <c r="A36" s="8" t="n">
        <v>28</v>
      </c>
      <c r="B36" s="8" t="s">
        <v>771</v>
      </c>
      <c r="C36" s="8" t="s">
        <v>772</v>
      </c>
      <c r="D36" s="15" t="n">
        <v>15</v>
      </c>
      <c r="E36" s="8" t="s">
        <v>694</v>
      </c>
      <c r="F36" s="8"/>
      <c r="G36" s="8"/>
      <c r="H36" s="8" t="s">
        <v>723</v>
      </c>
    </row>
    <row r="37" customFormat="false" ht="26.85" hidden="false" customHeight="false" outlineLevel="0" collapsed="false">
      <c r="A37" s="8" t="n">
        <v>29</v>
      </c>
      <c r="B37" s="8" t="s">
        <v>773</v>
      </c>
      <c r="C37" s="8" t="s">
        <v>774</v>
      </c>
      <c r="D37" s="12" t="n">
        <v>0</v>
      </c>
      <c r="E37" s="8" t="s">
        <v>123</v>
      </c>
      <c r="F37" s="8" t="s">
        <v>775</v>
      </c>
      <c r="G37" s="8"/>
      <c r="H37" s="8" t="s">
        <v>723</v>
      </c>
    </row>
    <row r="38" customFormat="false" ht="15" hidden="false" customHeight="false" outlineLevel="0" collapsed="false">
      <c r="A38" s="8" t="n">
        <v>30</v>
      </c>
      <c r="B38" s="8" t="s">
        <v>776</v>
      </c>
      <c r="C38" s="8" t="s">
        <v>777</v>
      </c>
      <c r="D38" s="53" t="n">
        <f aca="false">MIN('10 Регулирование'!$D$34,'10 Регулирование'!$D$35,'10 Регулирование'!$D$36)</f>
        <v>8</v>
      </c>
      <c r="E38" s="8" t="s">
        <v>694</v>
      </c>
      <c r="F38" s="8"/>
      <c r="G38" s="8"/>
      <c r="H38" s="8"/>
    </row>
    <row r="39" customFormat="false" ht="39.55" hidden="false" customHeight="false" outlineLevel="0" collapsed="false">
      <c r="A39" s="8" t="n">
        <v>31</v>
      </c>
      <c r="B39" s="8" t="s">
        <v>778</v>
      </c>
      <c r="C39" s="8" t="s">
        <v>779</v>
      </c>
      <c r="D39" s="53" t="n">
        <f aca="false">IF(AND('10 Регулирование'!$D$38&lt;2,'10 Регулирование'!$D$37&gt;0.002),400*'10 Регулирование'!$D$37*'10 Регулирование'!$D$24,IF('10 Регулирование'!$D$38&gt;5,-1*('10 Регулирование'!$D$38-5)*'10 Регулирование'!$D$24,0))</f>
        <v>-3</v>
      </c>
      <c r="E39" s="8" t="s">
        <v>479</v>
      </c>
      <c r="F39" s="8" t="s">
        <v>780</v>
      </c>
      <c r="G39" s="8" t="s">
        <v>781</v>
      </c>
      <c r="H39" s="8" t="s">
        <v>782</v>
      </c>
    </row>
    <row r="40" customFormat="false" ht="15" hidden="false" customHeight="false" outlineLevel="0" collapsed="false">
      <c r="A40" s="11" t="s">
        <v>783</v>
      </c>
      <c r="B40" s="11"/>
      <c r="C40" s="11"/>
      <c r="D40" s="11"/>
      <c r="E40" s="11"/>
      <c r="F40" s="11"/>
      <c r="G40" s="11"/>
      <c r="H40" s="11"/>
    </row>
    <row r="41" customFormat="false" ht="26.85" hidden="false" customHeight="false" outlineLevel="0" collapsed="false">
      <c r="A41" s="8" t="n">
        <v>32</v>
      </c>
      <c r="B41" s="8" t="s">
        <v>784</v>
      </c>
      <c r="C41" s="8"/>
      <c r="D41" s="56" t="n">
        <v>0.018</v>
      </c>
      <c r="E41" s="8" t="s">
        <v>123</v>
      </c>
      <c r="F41" s="8"/>
      <c r="G41" s="8" t="s">
        <v>785</v>
      </c>
      <c r="H41" s="8" t="s">
        <v>786</v>
      </c>
    </row>
    <row r="42" customFormat="false" ht="26.85" hidden="false" customHeight="false" outlineLevel="0" collapsed="false">
      <c r="A42" s="8" t="n">
        <v>33</v>
      </c>
      <c r="B42" s="8" t="s">
        <v>787</v>
      </c>
      <c r="C42" s="8"/>
      <c r="D42" s="57" t="n">
        <v>0.082</v>
      </c>
      <c r="E42" s="8" t="s">
        <v>192</v>
      </c>
      <c r="F42" s="8"/>
      <c r="G42" s="8" t="s">
        <v>788</v>
      </c>
      <c r="H42" s="8" t="s">
        <v>483</v>
      </c>
    </row>
    <row r="43" customFormat="false" ht="26.85" hidden="false" customHeight="false" outlineLevel="0" collapsed="false">
      <c r="A43" s="8" t="n">
        <v>34</v>
      </c>
      <c r="B43" s="8" t="s">
        <v>789</v>
      </c>
      <c r="C43" s="8"/>
      <c r="D43" s="56" t="n">
        <v>0.075</v>
      </c>
      <c r="E43" s="8" t="s">
        <v>123</v>
      </c>
      <c r="F43" s="8"/>
      <c r="G43" s="8" t="s">
        <v>790</v>
      </c>
      <c r="H43" s="8" t="s">
        <v>786</v>
      </c>
    </row>
    <row r="44" customFormat="false" ht="26.85" hidden="false" customHeight="false" outlineLevel="0" collapsed="false">
      <c r="A44" s="8" t="n">
        <v>35</v>
      </c>
      <c r="B44" s="8" t="s">
        <v>791</v>
      </c>
      <c r="C44" s="8"/>
      <c r="D44" s="57" t="n">
        <v>0.089</v>
      </c>
      <c r="E44" s="8" t="s">
        <v>192</v>
      </c>
      <c r="F44" s="8"/>
      <c r="G44" s="8" t="s">
        <v>788</v>
      </c>
      <c r="H44" s="8" t="s">
        <v>483</v>
      </c>
    </row>
    <row r="45" customFormat="false" ht="26.85" hidden="false" customHeight="false" outlineLevel="0" collapsed="false">
      <c r="A45" s="8" t="n">
        <v>36</v>
      </c>
      <c r="B45" s="8" t="s">
        <v>792</v>
      </c>
      <c r="C45" s="8"/>
      <c r="D45" s="56" t="n">
        <v>0.191</v>
      </c>
      <c r="E45" s="8" t="s">
        <v>123</v>
      </c>
      <c r="F45" s="8"/>
      <c r="G45" s="8"/>
      <c r="H45" s="8" t="s">
        <v>786</v>
      </c>
    </row>
    <row r="46" customFormat="false" ht="26.85" hidden="false" customHeight="false" outlineLevel="0" collapsed="false">
      <c r="A46" s="8" t="n">
        <v>37</v>
      </c>
      <c r="B46" s="8" t="s">
        <v>793</v>
      </c>
      <c r="C46" s="8"/>
      <c r="D46" s="57" t="n">
        <v>0.11</v>
      </c>
      <c r="E46" s="8" t="s">
        <v>192</v>
      </c>
      <c r="F46" s="8"/>
      <c r="G46" s="8" t="s">
        <v>788</v>
      </c>
      <c r="H46" s="8" t="s">
        <v>483</v>
      </c>
    </row>
    <row r="47" customFormat="false" ht="26.85" hidden="false" customHeight="false" outlineLevel="0" collapsed="false">
      <c r="A47" s="8" t="n">
        <v>38</v>
      </c>
      <c r="B47" s="8" t="s">
        <v>794</v>
      </c>
      <c r="C47" s="8"/>
      <c r="D47" s="56" t="n">
        <v>0.79</v>
      </c>
      <c r="E47" s="8" t="s">
        <v>123</v>
      </c>
      <c r="F47" s="8"/>
      <c r="G47" s="8" t="s">
        <v>795</v>
      </c>
      <c r="H47" s="8" t="s">
        <v>786</v>
      </c>
    </row>
    <row r="48" customFormat="false" ht="26.85" hidden="false" customHeight="false" outlineLevel="0" collapsed="false">
      <c r="A48" s="8" t="n">
        <v>39</v>
      </c>
      <c r="B48" s="8" t="s">
        <v>796</v>
      </c>
      <c r="C48" s="8"/>
      <c r="D48" s="57" t="n">
        <v>0.266</v>
      </c>
      <c r="E48" s="8" t="s">
        <v>192</v>
      </c>
      <c r="F48" s="8"/>
      <c r="G48" s="8" t="s">
        <v>797</v>
      </c>
      <c r="H48" s="8" t="s">
        <v>483</v>
      </c>
    </row>
  </sheetData>
  <mergeCells count="6">
    <mergeCell ref="A2:H2"/>
    <mergeCell ref="A5:H5"/>
    <mergeCell ref="B18:H18"/>
    <mergeCell ref="A19:H19"/>
    <mergeCell ref="A33:H33"/>
    <mergeCell ref="A40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798</v>
      </c>
    </row>
    <row r="2" customFormat="false" ht="60" hidden="false" customHeight="true" outlineLevel="0" collapsed="false">
      <c r="A2" s="10" t="s">
        <v>799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800</v>
      </c>
      <c r="G5" s="8" t="s">
        <v>801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802</v>
      </c>
      <c r="C7" s="8" t="s">
        <v>803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804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805</v>
      </c>
      <c r="C9" s="8" t="s">
        <v>806</v>
      </c>
      <c r="D9" s="18" t="n">
        <f aca="false">'11 Динамика'!$D$5/'11 Динамика'!$D$6</f>
        <v>1.31642007688231</v>
      </c>
      <c r="E9" s="8" t="s">
        <v>223</v>
      </c>
      <c r="F9" s="8" t="s">
        <v>807</v>
      </c>
      <c r="G9" s="8" t="s">
        <v>808</v>
      </c>
      <c r="H9" s="8" t="s">
        <v>809</v>
      </c>
    </row>
    <row r="10" customFormat="false" ht="15" hidden="false" customHeight="false" outlineLevel="0" collapsed="false">
      <c r="A10" s="8" t="n">
        <v>6</v>
      </c>
      <c r="B10" s="8" t="s">
        <v>810</v>
      </c>
      <c r="C10" s="8" t="s">
        <v>806</v>
      </c>
      <c r="D10" s="52" t="n">
        <f aca="false">'11 Динамика'!$D$9*60</f>
        <v>78.9852046129388</v>
      </c>
      <c r="E10" s="8" t="s">
        <v>811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812</v>
      </c>
      <c r="C11" s="8" t="s">
        <v>813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814</v>
      </c>
      <c r="G11" s="8" t="s">
        <v>815</v>
      </c>
      <c r="H11" s="8"/>
    </row>
    <row r="12" customFormat="false" ht="15" hidden="false" customHeight="false" outlineLevel="0" collapsed="false">
      <c r="B12" s="58" t="s">
        <v>816</v>
      </c>
      <c r="C12" s="58" t="s">
        <v>817</v>
      </c>
      <c r="D12" s="58" t="s">
        <v>818</v>
      </c>
      <c r="E12" s="58" t="s">
        <v>819</v>
      </c>
      <c r="F12" s="58" t="s">
        <v>820</v>
      </c>
    </row>
    <row r="13" customFormat="false" ht="15" hidden="false" customHeight="false" outlineLevel="0" collapsed="false">
      <c r="B13" s="59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0" t="n">
        <v>0.0638922600857928</v>
      </c>
      <c r="E13" s="61" t="n">
        <f aca="false">ABS(C13-D13)/D13</f>
        <v>8.53793584632849E-005</v>
      </c>
      <c r="F13" s="62" t="n">
        <f aca="false">C13/'1 Исходные'!$D$25</f>
        <v>0.31943402502808</v>
      </c>
    </row>
    <row r="14" customFormat="false" ht="15" hidden="false" customHeight="false" outlineLevel="0" collapsed="false">
      <c r="B14" s="59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0" t="n">
        <v>0.106907955454505</v>
      </c>
      <c r="E14" s="61" t="n">
        <f aca="false">ABS(C14-D14)/D14</f>
        <v>6.980066477551E-005</v>
      </c>
      <c r="F14" s="62" t="n">
        <f aca="false">C14/'1 Исходные'!$D$25</f>
        <v>0.534502466040723</v>
      </c>
    </row>
    <row r="15" customFormat="false" ht="15" hidden="false" customHeight="false" outlineLevel="0" collapsed="false">
      <c r="B15" s="59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0" t="n">
        <v>0.136328905592563</v>
      </c>
      <c r="E15" s="61" t="n">
        <f aca="false">ABS(C15-D15)/D15</f>
        <v>5.6157962529383E-005</v>
      </c>
      <c r="F15" s="62" t="n">
        <f aca="false">C15/'1 Исходные'!$D$25</f>
        <v>0.681606248194955</v>
      </c>
    </row>
    <row r="16" customFormat="false" ht="15" hidden="false" customHeight="false" outlineLevel="0" collapsed="false">
      <c r="B16" s="59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0" t="n">
        <v>0.156451614283114</v>
      </c>
      <c r="E16" s="61" t="n">
        <f aca="false">ABS(C16-D16)/D16</f>
        <v>4.46268700586155E-005</v>
      </c>
      <c r="F16" s="62" t="n">
        <f aca="false">C16/'1 Исходные'!$D$25</f>
        <v>0.782223161686263</v>
      </c>
    </row>
    <row r="17" customFormat="false" ht="15" hidden="false" customHeight="false" outlineLevel="0" collapsed="false">
      <c r="B17" s="59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0" t="n">
        <v>0.170214711774686</v>
      </c>
      <c r="E17" s="61" t="n">
        <f aca="false">ABS(C17-D17)/D17</f>
        <v>3.50693604215178E-005</v>
      </c>
      <c r="F17" s="62" t="n">
        <f aca="false">C17/'1 Исходные'!$D$25</f>
        <v>0.85104371226805</v>
      </c>
    </row>
    <row r="18" customFormat="false" ht="15" hidden="false" customHeight="false" outlineLevel="0" collapsed="false">
      <c r="B18" s="59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0" t="n">
        <v>0.1796280991807</v>
      </c>
      <c r="E18" s="61" t="n">
        <f aca="false">ABS(C18-D18)/D18</f>
        <v>2.72753517687003E-005</v>
      </c>
      <c r="F18" s="62" t="n">
        <f aca="false">C18/'1 Исходные'!$D$25</f>
        <v>0.898115998805535</v>
      </c>
    </row>
    <row r="19" customFormat="false" ht="15" hidden="false" customHeight="false" outlineLevel="0" collapsed="false">
      <c r="B19" s="59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0" t="n">
        <v>0.186066465435822</v>
      </c>
      <c r="E19" s="61" t="n">
        <f aca="false">ABS(C19-D19)/D19</f>
        <v>2.10117277931869E-005</v>
      </c>
      <c r="F19" s="62" t="n">
        <f aca="false">C19/'1 Исходные'!$D$25</f>
        <v>0.930312779289496</v>
      </c>
    </row>
    <row r="20" customFormat="false" ht="15" hidden="false" customHeight="false" outlineLevel="0" collapsed="false">
      <c r="B20" s="59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0" t="n">
        <v>0.190470040710821</v>
      </c>
      <c r="E20" s="61" t="n">
        <f aca="false">ABS(C20-D20)/D20</f>
        <v>1.60447736780805E-005</v>
      </c>
      <c r="F20" s="62" t="n">
        <f aca="false">C20/'1 Исходные'!$D$25</f>
        <v>0.952334923310626</v>
      </c>
    </row>
    <row r="21" customFormat="false" ht="15" hidden="false" customHeight="false" outlineLevel="0" collapsed="false">
      <c r="B21" s="59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0" t="n">
        <v>0.193481903415454</v>
      </c>
      <c r="E21" s="61" t="n">
        <f aca="false">ABS(C21-D21)/D21</f>
        <v>1.21537665696098E-005</v>
      </c>
      <c r="F21" s="62" t="n">
        <f aca="false">C21/'1 Исходные'!$D$25</f>
        <v>0.967397759407824</v>
      </c>
    </row>
    <row r="22" customFormat="false" ht="15" hidden="false" customHeight="false" outlineLevel="0" collapsed="false">
      <c r="B22" s="59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0" t="n">
        <v>0.195541892489121</v>
      </c>
      <c r="E22" s="61" t="n">
        <f aca="false">ABS(C22-D22)/D22</f>
        <v>9.13918288523854E-006</v>
      </c>
      <c r="F22" s="62" t="n">
        <f aca="false">C22/'1 Исходные'!$D$25</f>
        <v>0.977700526980017</v>
      </c>
    </row>
    <row r="23" customFormat="false" ht="15" hidden="false" customHeight="false" outlineLevel="0" collapsed="false">
      <c r="B23" s="59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0" t="n">
        <v>0.196950839509546</v>
      </c>
      <c r="E23" s="61" t="n">
        <f aca="false">ABS(C23-D23)/D23</f>
        <v>6.82685188646944E-006</v>
      </c>
      <c r="F23" s="62" t="n">
        <f aca="false">C23/'1 Исходные'!$D$25</f>
        <v>0.984747474776678</v>
      </c>
    </row>
    <row r="24" customFormat="false" ht="15" hidden="false" customHeight="false" outlineLevel="0" collapsed="false">
      <c r="B24" s="59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0" t="n">
        <v>0.197914500788988</v>
      </c>
      <c r="E24" s="61" t="n">
        <f aca="false">ABS(C24-D24)/D24</f>
        <v>5.06906327399108E-006</v>
      </c>
      <c r="F24" s="62" t="n">
        <f aca="false">C24/'1 Исходные'!$D$25</f>
        <v>0.989567487739303</v>
      </c>
    </row>
    <row r="25" customFormat="false" ht="15" hidden="false" customHeight="false" outlineLevel="0" collapsed="false">
      <c r="B25" s="59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0" t="n">
        <v>0.198573605104504</v>
      </c>
      <c r="E25" s="61" t="n">
        <f aca="false">ABS(C25-D25)/D25</f>
        <v>3.74355624886664E-006</v>
      </c>
      <c r="F25" s="62" t="n">
        <f aca="false">C25/'1 Исходные'!$D$25</f>
        <v>0.992864308665218</v>
      </c>
    </row>
    <row r="26" customFormat="false" ht="15" hidden="false" customHeight="false" outlineLevel="0" collapsed="false">
      <c r="B26" s="59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0" t="n">
        <v>0.199024405098236</v>
      </c>
      <c r="E26" s="61" t="n">
        <f aca="false">ABS(C26-D26)/D26</f>
        <v>2.75120329206184E-006</v>
      </c>
      <c r="F26" s="62" t="n">
        <f aca="false">C26/'1 Исходные'!$D$25</f>
        <v>0.995119287708186</v>
      </c>
    </row>
    <row r="27" customFormat="false" ht="15" hidden="false" customHeight="false" outlineLevel="0" collapsed="false">
      <c r="B27" s="59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0" t="n">
        <v>0.199332733582156</v>
      </c>
      <c r="E27" s="61" t="n">
        <f aca="false">ABS(C27-D27)/D27</f>
        <v>2.01303843763798E-006</v>
      </c>
      <c r="F27" s="62" t="n">
        <f aca="false">C27/'1 Исходные'!$D$25</f>
        <v>0.996661661588507</v>
      </c>
    </row>
    <row r="28" customFormat="false" ht="15" hidden="false" customHeight="false" outlineLevel="0" collapsed="false">
      <c r="B28" s="59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0" t="n">
        <v>0.199543617467069</v>
      </c>
      <c r="E28" s="61" t="n">
        <f aca="false">ABS(C28-D28)/D28</f>
        <v>1.46710103226778E-006</v>
      </c>
      <c r="F28" s="62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821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2026-10-12T14:09:54Z</dcterms:created>
  <dc:creator>openpyxl</dc:creator>
  <dc:description/>
  <dc:language>en-US</dc:language>
  <cp:lastModifiedBy/>
  <dcterms:modified xsi:type="dcterms:W3CDTF">2026-10-12T14:09:54Z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